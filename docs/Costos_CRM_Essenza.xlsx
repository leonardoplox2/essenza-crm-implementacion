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Tarifas" sheetId="2" state="visible" r:id="rId4"/>
    <sheet name="No laborales" sheetId="3" state="visible" r:id="rId5"/>
    <sheet name="Paquetes" sheetId="4" state="visible" r:id="rId6"/>
    <sheet name="Riesgos" sheetId="5" state="visible" r:id="rId7"/>
    <sheet name="Presupuesto" sheetId="6" state="visible" r:id="rId8"/>
    <sheet name="Curva S" sheetId="7" state="visible" r:id="rId9"/>
    <sheet name="Valor ganado" sheetId="8" state="visible" r:id="rId10"/>
    <sheet name="Viabilida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Supuesto: 8 h/día × 20 días hábiles. Editable.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6" authorId="0">
      <text>
        <r>
          <rPr>
            <sz val="10"/>
            <rFont val="Arial"/>
            <family val="2"/>
          </rPr>
          <t xml:space="preserve">Supuesto del equipo para imprevistos no identificados; la controla la patrocinadora. Editable.</t>
        </r>
      </text>
    </comment>
    <comment ref="B20" authorId="0">
      <text>
        <r>
          <rPr>
            <sz val="10"/>
            <rFont val="Arial"/>
            <family val="2"/>
          </rPr>
          <t xml:space="preserve">Monto de orden de magnitud aprobado en el acta ESSENZA-FID-2026-001 (sección 10).</t>
        </r>
      </text>
    </comment>
  </commentList>
</comments>
</file>

<file path=xl/sharedStrings.xml><?xml version="1.0" encoding="utf-8"?>
<sst xmlns="http://schemas.openxmlformats.org/spreadsheetml/2006/main" count="363" uniqueCount="306">
  <si>
    <t xml:space="preserve">Línea base de costos — CRM Predictivo y Retención Postventa · Essenza SPA</t>
  </si>
  <si>
    <t xml:space="preserve">Gestión de Proyectos TI · UNTELS · Dominio de desempeño de Finanzas (Guía PMBOK® 8) · Proyecto del 15/09/2026 al 15/01/2027</t>
  </si>
  <si>
    <t xml:space="preserve">Concepto</t>
  </si>
  <si>
    <t xml:space="preserve">Monto (S/)</t>
  </si>
  <si>
    <t xml:space="preserve">Cómo se calcula</t>
  </si>
  <si>
    <t xml:space="preserve">Mano de obra del equipo</t>
  </si>
  <si>
    <t xml:space="preserve">Σ horas por rol × tarifa por hora (hoja Paquetes)</t>
  </si>
  <si>
    <t xml:space="preserve">Costos directos no laborales</t>
  </si>
  <si>
    <t xml:space="preserve">Materiales, equipos y gastos (hoja No laborales)</t>
  </si>
  <si>
    <t xml:space="preserve">Ajuste por estimación PERT</t>
  </si>
  <si>
    <t xml:space="preserve">E = (O + 4M + P) / 6 en 3 paquetes inciertos</t>
  </si>
  <si>
    <t xml:space="preserve">Costo de los paquetes de trabajo</t>
  </si>
  <si>
    <t xml:space="preserve">Σ estimación final de los 36 paquetes</t>
  </si>
  <si>
    <t xml:space="preserve">Reserva de contingencia</t>
  </si>
  <si>
    <t xml:space="preserve">Σ VME = probabilidad × impacto (hoja Riesgos)</t>
  </si>
  <si>
    <t xml:space="preserve">Línea base de costos (BAC)</t>
  </si>
  <si>
    <t xml:space="preserve">Paquetes + contingencia</t>
  </si>
  <si>
    <t xml:space="preserve">Reserva de gestión</t>
  </si>
  <si>
    <t xml:space="preserve">5 % de la línea base (editable en Presupuesto)</t>
  </si>
  <si>
    <t xml:space="preserve">PRESUPUESTO TOTAL DEL PROYECTO</t>
  </si>
  <si>
    <t xml:space="preserve">Línea base + reserva de gestión</t>
  </si>
  <si>
    <t xml:space="preserve">Presupuesto autorizado en el acta de constitución</t>
  </si>
  <si>
    <t xml:space="preserve">Orden de magnitud aprobado en el acta de constitución</t>
  </si>
  <si>
    <t xml:space="preserve">Holgura frente al acta</t>
  </si>
  <si>
    <t xml:space="preserve">Autorizado − presupuesto del proyecto</t>
  </si>
  <si>
    <t xml:space="preserve">Leyenda</t>
  </si>
  <si>
    <t xml:space="preserve">Texto azul</t>
  </si>
  <si>
    <t xml:space="preserve">Dato de entrada: puedes cambiarlo y todo se recalcula</t>
  </si>
  <si>
    <t xml:space="preserve">Texto verde</t>
  </si>
  <si>
    <t xml:space="preserve">Vínculo a otra hoja</t>
  </si>
  <si>
    <t xml:space="preserve">Texto negro</t>
  </si>
  <si>
    <t xml:space="preserve">Fórmula calculada</t>
  </si>
  <si>
    <t xml:space="preserve">Fondo amarillo</t>
  </si>
  <si>
    <t xml:space="preserve">Supuesto clave a validar con el docente o la patrocinadora</t>
  </si>
  <si>
    <t xml:space="preserve">Hojas</t>
  </si>
  <si>
    <t xml:space="preserve">Tarifas</t>
  </si>
  <si>
    <t xml:space="preserve">Sueldos y tarifa por hora de cada rol</t>
  </si>
  <si>
    <t xml:space="preserve">Paquetes</t>
  </si>
  <si>
    <t xml:space="preserve">Estimación bottom-up de los 36 paquetes, con PERT</t>
  </si>
  <si>
    <t xml:space="preserve">No laborales</t>
  </si>
  <si>
    <t xml:space="preserve">Gastos directos que no son horas</t>
  </si>
  <si>
    <t xml:space="preserve">Riesgos</t>
  </si>
  <si>
    <t xml:space="preserve">Reserva de contingencia por VME</t>
  </si>
  <si>
    <t xml:space="preserve">Presupuesto</t>
  </si>
  <si>
    <t xml:space="preserve">Agregación por entregable y reservas</t>
  </si>
  <si>
    <t xml:space="preserve">Curva S</t>
  </si>
  <si>
    <t xml:space="preserve">Valor planificado acumulado por semana</t>
  </si>
  <si>
    <t xml:space="preserve">Valor ganado</t>
  </si>
  <si>
    <t xml:space="preserve">Fórmulas EVM con un ejemplo al corte H2</t>
  </si>
  <si>
    <t xml:space="preserve">Viabilidad</t>
  </si>
  <si>
    <t xml:space="preserve">VAN, ROI y periodo de recuperación</t>
  </si>
  <si>
    <t xml:space="preserve">Tarifas por rol</t>
  </si>
  <si>
    <t xml:space="preserve">Tarifa por hora = sueldo mensual ÷ horas laborables al mes. Celdas en azul = datos de entrada editables.</t>
  </si>
  <si>
    <t xml:space="preserve">Horas laborables por mes</t>
  </si>
  <si>
    <t xml:space="preserve">Código</t>
  </si>
  <si>
    <t xml:space="preserve">Rol</t>
  </si>
  <si>
    <t xml:space="preserve">Sueldo mensual (S/)</t>
  </si>
  <si>
    <t xml:space="preserve">Tarifa por hora (S/)</t>
  </si>
  <si>
    <t xml:space="preserve">Horas asignadas</t>
  </si>
  <si>
    <t xml:space="preserve">Costo de mano de obra (S/)</t>
  </si>
  <si>
    <t xml:space="preserve">% del costo laboral</t>
  </si>
  <si>
    <t xml:space="preserve">DP</t>
  </si>
  <si>
    <t xml:space="preserve">Director del proyecto</t>
  </si>
  <si>
    <t xml:space="preserve">AF</t>
  </si>
  <si>
    <t xml:space="preserve">Analista funcional</t>
  </si>
  <si>
    <t xml:space="preserve">CD</t>
  </si>
  <si>
    <t xml:space="preserve">Científico de datos</t>
  </si>
  <si>
    <t xml:space="preserve">DB</t>
  </si>
  <si>
    <t xml:space="preserve">Desarrollador backend</t>
  </si>
  <si>
    <t xml:space="preserve">DF</t>
  </si>
  <si>
    <t xml:space="preserve">Desarrollador frontend</t>
  </si>
  <si>
    <t xml:space="preserve">QA</t>
  </si>
  <si>
    <t xml:space="preserve">QA y capacitación</t>
  </si>
  <si>
    <t xml:space="preserve">ADM</t>
  </si>
  <si>
    <t xml:space="preserve">Administradora (interno)</t>
  </si>
  <si>
    <t xml:space="preserve">PAT</t>
  </si>
  <si>
    <t xml:space="preserve">Dueña – patrocinadora (interno)</t>
  </si>
  <si>
    <t xml:space="preserve">Total</t>
  </si>
  <si>
    <t xml:space="preserve">Fuente de los sueldos: valores de referencia del mercado de Lima para perfiles TI junior (supuesto del equipo, no cotización). Los roles internos (administradora y dueña) se valorizan con su costo de oportunidad.</t>
  </si>
  <si>
    <t xml:space="preserve">Materiales, equipos y gastos que no son horas del equipo. Montos en azul = entrada.</t>
  </si>
  <si>
    <t xml:space="preserve">Paquete EDT</t>
  </si>
  <si>
    <t xml:space="preserve">Descripción</t>
  </si>
  <si>
    <t xml:space="preserve">EDT-1.1.01</t>
  </si>
  <si>
    <t xml:space="preserve">Impresión de actas y documentos del proyecto</t>
  </si>
  <si>
    <t xml:space="preserve">EDT-1.1.03</t>
  </si>
  <si>
    <t xml:space="preserve">Movilidad del equipo a las reuniones en el spa</t>
  </si>
  <si>
    <t xml:space="preserve">EDT-1.2.01</t>
  </si>
  <si>
    <t xml:space="preserve">Materiales para entrevistas y talleres de levantamiento</t>
  </si>
  <si>
    <t xml:space="preserve">EDT-1.8.01</t>
  </si>
  <si>
    <t xml:space="preserve">UPS para la PC de recepción</t>
  </si>
  <si>
    <t xml:space="preserve">Disco externo de 1 TB para respaldos</t>
  </si>
  <si>
    <t xml:space="preserve">EDT-1.8.02</t>
  </si>
  <si>
    <t xml:space="preserve">Impresión de manuales y guía rápida</t>
  </si>
  <si>
    <t xml:space="preserve">EDT-1.8.03</t>
  </si>
  <si>
    <t xml:space="preserve">Refrigerios para los 3 talleres de capacitación</t>
  </si>
  <si>
    <t xml:space="preserve">EDT-1.8.04</t>
  </si>
  <si>
    <t xml:space="preserve">Fondo de beneficios para el piloto de retención</t>
  </si>
  <si>
    <t xml:space="preserve">Fuente: precios estimados de mercado (supuesto del equipo). Para agregar un gasto, inserta una fila dentro del rango y escribe el código del paquete.</t>
  </si>
  <si>
    <t xml:space="preserve">Estimación de costos por paquete de trabajo (bottom-up)</t>
  </si>
  <si>
    <t xml:space="preserve">Mano de obra = Σ (horas del rol × tarifa). Base = mano de obra + no laborales. PERT: E = (O + 4M + P) / 6 ; σ = (P − O) / 6.</t>
  </si>
  <si>
    <t xml:space="preserve">Tarifa por hora (S/) →</t>
  </si>
  <si>
    <t xml:space="preserve">Entregable</t>
  </si>
  <si>
    <t xml:space="preserve">Nombre del paquete</t>
  </si>
  <si>
    <t xml:space="preserve">Director del proyecto (h)</t>
  </si>
  <si>
    <t xml:space="preserve">Analista funcional (h)</t>
  </si>
  <si>
    <t xml:space="preserve">Científico de datos (h)</t>
  </si>
  <si>
    <t xml:space="preserve">Desarrollador backend (h)</t>
  </si>
  <si>
    <t xml:space="preserve">Desarrollador frontend (h)</t>
  </si>
  <si>
    <t xml:space="preserve">QA y capacitación (h)</t>
  </si>
  <si>
    <t xml:space="preserve">Administradora (h)</t>
  </si>
  <si>
    <t xml:space="preserve">Dueña (h)</t>
  </si>
  <si>
    <t xml:space="preserve">Horas totales</t>
  </si>
  <si>
    <t xml:space="preserve">Mano de obra (S/)</t>
  </si>
  <si>
    <t xml:space="preserve">No laborales (S/)</t>
  </si>
  <si>
    <t xml:space="preserve">Costo base M (S/)</t>
  </si>
  <si>
    <t xml:space="preserve">Factor optimista</t>
  </si>
  <si>
    <t xml:space="preserve">Factor pesimista</t>
  </si>
  <si>
    <t xml:space="preserve">Optimista O (S/)</t>
  </si>
  <si>
    <t xml:space="preserve">Pesimista P (S/)</t>
  </si>
  <si>
    <t xml:space="preserve">PERT E (S/)</t>
  </si>
  <si>
    <t xml:space="preserve">σ (S/)</t>
  </si>
  <si>
    <t xml:space="preserve">Estimación final (S/)</t>
  </si>
  <si>
    <t xml:space="preserve">1.1 Gestión del proyecto</t>
  </si>
  <si>
    <t xml:space="preserve">Acta de constitución y lanzamiento</t>
  </si>
  <si>
    <t xml:space="preserve">EDT-1.1.02</t>
  </si>
  <si>
    <t xml:space="preserve">Plan para la dirección del proyecto</t>
  </si>
  <si>
    <t xml:space="preserve">Seguimiento y control</t>
  </si>
  <si>
    <t xml:space="preserve">EDT-1.1.04</t>
  </si>
  <si>
    <t xml:space="preserve">Cierre del proyecto</t>
  </si>
  <si>
    <t xml:space="preserve">1.2 Análisis y diseño</t>
  </si>
  <si>
    <t xml:space="preserve">Levantamiento AS-IS y requisitos</t>
  </si>
  <si>
    <t xml:space="preserve">EDT-1.2.02</t>
  </si>
  <si>
    <t xml:space="preserve">Especificación de requisitos y trazabilidad</t>
  </si>
  <si>
    <t xml:space="preserve">EDT-1.2.03</t>
  </si>
  <si>
    <t xml:space="preserve">Arquitectura y modelo de datos</t>
  </si>
  <si>
    <t xml:space="preserve">EDT-1.2.04</t>
  </si>
  <si>
    <t xml:space="preserve">Prototipo de interfaz (UX/UI)</t>
  </si>
  <si>
    <t xml:space="preserve">EDT-1.2.05</t>
  </si>
  <si>
    <t xml:space="preserve">Reglas de negocio de retención</t>
  </si>
  <si>
    <t xml:space="preserve">EDT-1.3.01</t>
  </si>
  <si>
    <t xml:space="preserve">1.3 Datos y modelo predictivo</t>
  </si>
  <si>
    <t xml:space="preserve">Registro operacional Excel normalizado</t>
  </si>
  <si>
    <t xml:space="preserve">EDT-1.3.02</t>
  </si>
  <si>
    <t xml:space="preserve">Dataset depurado y calidad de datos</t>
  </si>
  <si>
    <t xml:space="preserve">EDT-1.3.03</t>
  </si>
  <si>
    <t xml:space="preserve">Ingeniería de características</t>
  </si>
  <si>
    <t xml:space="preserve">EDT-1.3.04</t>
  </si>
  <si>
    <t xml:space="preserve">Modelo XGBoost entrenado</t>
  </si>
  <si>
    <t xml:space="preserve">EDT-1.3.05</t>
  </si>
  <si>
    <t xml:space="preserve">Evaluación, interpretabilidad y empaquetado</t>
  </si>
  <si>
    <t xml:space="preserve">EDT-1.4.01</t>
  </si>
  <si>
    <t xml:space="preserve">1.4 Backend e integración</t>
  </si>
  <si>
    <t xml:space="preserve">Base de datos SQLite</t>
  </si>
  <si>
    <t xml:space="preserve">EDT-1.4.02</t>
  </si>
  <si>
    <t xml:space="preserve">Lectura y validación del Excel</t>
  </si>
  <si>
    <t xml:space="preserve">EDT-1.4.03</t>
  </si>
  <si>
    <t xml:space="preserve">Sincronización automática</t>
  </si>
  <si>
    <t xml:space="preserve">EDT-1.4.04</t>
  </si>
  <si>
    <t xml:space="preserve">Predicción y alertas</t>
  </si>
  <si>
    <t xml:space="preserve">EDT-1.4.05</t>
  </si>
  <si>
    <t xml:space="preserve">API REST y autenticación</t>
  </si>
  <si>
    <t xml:space="preserve">EDT-1.5.01</t>
  </si>
  <si>
    <t xml:space="preserve">1.5 Aplicación web CRM</t>
  </si>
  <si>
    <t xml:space="preserve">Inicio de sesión y navegación</t>
  </si>
  <si>
    <t xml:space="preserve">EDT-1.5.02</t>
  </si>
  <si>
    <t xml:space="preserve">Dashboard analítico</t>
  </si>
  <si>
    <t xml:space="preserve">EDT-1.5.03</t>
  </si>
  <si>
    <t xml:space="preserve">Clientes y ficha 360°</t>
  </si>
  <si>
    <t xml:space="preserve">EDT-1.5.04</t>
  </si>
  <si>
    <t xml:space="preserve">Centro de alertas y vistas del sistema</t>
  </si>
  <si>
    <t xml:space="preserve">EDT-1.6.01</t>
  </si>
  <si>
    <t xml:space="preserve">1.6 Módulo de retención</t>
  </si>
  <si>
    <t xml:space="preserve">Modelo de datos de retención</t>
  </si>
  <si>
    <t xml:space="preserve">EDT-1.6.02</t>
  </si>
  <si>
    <t xml:space="preserve">Motor de casos y recuperación</t>
  </si>
  <si>
    <t xml:space="preserve">EDT-1.6.03</t>
  </si>
  <si>
    <t xml:space="preserve">Centro de Retención</t>
  </si>
  <si>
    <t xml:space="preserve">EDT-1.6.04</t>
  </si>
  <si>
    <t xml:space="preserve">Contacto por WhatsApp</t>
  </si>
  <si>
    <t xml:space="preserve">EDT-1.7.01</t>
  </si>
  <si>
    <t xml:space="preserve">1.7 Pruebas y calidad</t>
  </si>
  <si>
    <t xml:space="preserve">Plan y casos de prueba</t>
  </si>
  <si>
    <t xml:space="preserve">EDT-1.7.02</t>
  </si>
  <si>
    <t xml:space="preserve">Pruebas unitarias e integración</t>
  </si>
  <si>
    <t xml:space="preserve">EDT-1.7.03</t>
  </si>
  <si>
    <t xml:space="preserve">Pruebas integrales del sistema</t>
  </si>
  <si>
    <t xml:space="preserve">EDT-1.7.04</t>
  </si>
  <si>
    <t xml:space="preserve">Pruebas de aceptación (UAT)</t>
  </si>
  <si>
    <t xml:space="preserve">1.8 Despliegue y transición</t>
  </si>
  <si>
    <t xml:space="preserve">Entorno de producción y respaldo</t>
  </si>
  <si>
    <t xml:space="preserve">Documentación y manuales</t>
  </si>
  <si>
    <t xml:space="preserve">Capacitación por rol</t>
  </si>
  <si>
    <t xml:space="preserve">Go-live y estabilización</t>
  </si>
  <si>
    <t xml:space="preserve">EDT-1.8.05</t>
  </si>
  <si>
    <t xml:space="preserve">Transferencia a la operación</t>
  </si>
  <si>
    <t xml:space="preserve">Total paquetes</t>
  </si>
  <si>
    <t xml:space="preserve">Horas: tomadas del cronograma (duración de cada actividad × 8 h × unidades asignadas; el seguimiento del director va al 10 % de dedicación). Factores PERT: juicio de expertos sobre los tres paquetes con más incertidumbre (modelo, integración y motor de reglas).</t>
  </si>
  <si>
    <t xml:space="preserve">Reserva de contingencia por riesgos identificados</t>
  </si>
  <si>
    <t xml:space="preserve">Valor monetario esperado: VME = probabilidad × impacto. Contingencia = Σ VME.</t>
  </si>
  <si>
    <t xml:space="preserve">ID</t>
  </si>
  <si>
    <t xml:space="preserve">Riesgo</t>
  </si>
  <si>
    <t xml:space="preserve">Probabilidad</t>
  </si>
  <si>
    <t xml:space="preserve">Impacto (S/)</t>
  </si>
  <si>
    <t xml:space="preserve">VME (S/)</t>
  </si>
  <si>
    <t xml:space="preserve">R1</t>
  </si>
  <si>
    <t xml:space="preserve">Datos del registro incompletos o de baja calidad</t>
  </si>
  <si>
    <t xml:space="preserve">R2</t>
  </si>
  <si>
    <t xml:space="preserve">El modelo no alcanza la meta (ROC-AUC ≥ 0,80, recall ≥ 0,60)</t>
  </si>
  <si>
    <t xml:space="preserve">R3</t>
  </si>
  <si>
    <t xml:space="preserve">Retraso en la integración con el Excel del spa</t>
  </si>
  <si>
    <t xml:space="preserve">R4</t>
  </si>
  <si>
    <t xml:space="preserve">Baja adopción del personal: capacitación adicional</t>
  </si>
  <si>
    <t xml:space="preserve">R5</t>
  </si>
  <si>
    <t xml:space="preserve">Falla de la PC o pérdida de datos durante el piloto</t>
  </si>
  <si>
    <t xml:space="preserve">Probabilidad e impacto: estimación del equipo en el registro de riesgos (juicio de expertos).</t>
  </si>
  <si>
    <t xml:space="preserve">Presupuesto del proyecto</t>
  </si>
  <si>
    <t xml:space="preserve">Línea base de costos = Σ paquetes + reserva de contingencia. Presupuesto = línea base + reserva de gestión.</t>
  </si>
  <si>
    <t xml:space="preserve">Entregable (nivel 2 de la EDT)</t>
  </si>
  <si>
    <t xml:space="preserve">Costo estimado (S/)</t>
  </si>
  <si>
    <t xml:space="preserve">% del total de paquetes</t>
  </si>
  <si>
    <t xml:space="preserve">+ Reserva de contingencia (riesgos identificados)</t>
  </si>
  <si>
    <t xml:space="preserve">Reserva de gestión (% de la línea base)</t>
  </si>
  <si>
    <t xml:space="preserve">+ Reserva de gestión (S/)</t>
  </si>
  <si>
    <t xml:space="preserve">Holgura frente al acta (S/)</t>
  </si>
  <si>
    <t xml:space="preserve">Tope con tolerancia del acta (+10 %)</t>
  </si>
  <si>
    <t xml:space="preserve">Curva S — valor planificado (PV) acumulado por semana</t>
  </si>
  <si>
    <t xml:space="preserve">Gasto semanal planificado de los paquetes según el cronograma (15/09/2026 – 15/01/2027). Sin reservas.</t>
  </si>
  <si>
    <t xml:space="preserve">Semana</t>
  </si>
  <si>
    <t xml:space="preserve">Fin de semana</t>
  </si>
  <si>
    <t xml:space="preserve">PV semanal (S/)</t>
  </si>
  <si>
    <t xml:space="preserve">PV acumulado (S/)</t>
  </si>
  <si>
    <t xml:space="preserve">Línea base BAC (S/)</t>
  </si>
  <si>
    <t xml:space="preserve">Presupuesto total (S/)</t>
  </si>
  <si>
    <t xml:space="preserve">PV semanal: distribución diaria del costo de cada actividad del cronograma (los gastos no laborales se cargan al cierre de su paquete).</t>
  </si>
  <si>
    <t xml:space="preserve">Gestión del valor ganado (EVM) — ejemplo al corte del hito H2</t>
  </si>
  <si>
    <t xml:space="preserve">Ejemplo ilustrativo para el control de costos. En la ejecución real, EV y AC salen del avance y la contabilidad.</t>
  </si>
  <si>
    <t xml:space="preserve">Indicador</t>
  </si>
  <si>
    <t xml:space="preserve">Valor</t>
  </si>
  <si>
    <t xml:space="preserve">Fórmula / interpretación</t>
  </si>
  <si>
    <t xml:space="preserve">Fecha de corte</t>
  </si>
  <si>
    <t xml:space="preserve">Fecha de medición (hito H2)</t>
  </si>
  <si>
    <t xml:space="preserve">BAC — presupuesto hasta la conclusión</t>
  </si>
  <si>
    <t xml:space="preserve">Línea base de costos</t>
  </si>
  <si>
    <t xml:space="preserve">PV — valor planificado</t>
  </si>
  <si>
    <t xml:space="preserve">PV acumulado de la curva S a la fecha de corte</t>
  </si>
  <si>
    <t xml:space="preserve">% del PV realmente completado</t>
  </si>
  <si>
    <t xml:space="preserve">Supuesto del ejemplo: se completó el 94 % de lo planificado</t>
  </si>
  <si>
    <t xml:space="preserve">EV — valor ganado</t>
  </si>
  <si>
    <t xml:space="preserve">EV = % completado × valor planificado</t>
  </si>
  <si>
    <t xml:space="preserve">Sobrecosto observado (AC / EV)</t>
  </si>
  <si>
    <t xml:space="preserve">Supuesto del ejemplo: se gastó 6 % más de lo ganado</t>
  </si>
  <si>
    <t xml:space="preserve">AC — costo real</t>
  </si>
  <si>
    <t xml:space="preserve">Costo real incurrido a la fecha</t>
  </si>
  <si>
    <t xml:space="preserve">CV — variación del costo</t>
  </si>
  <si>
    <t xml:space="preserve">CV = EV − AC  (negativo = sobrecosto)</t>
  </si>
  <si>
    <t xml:space="preserve">SV — variación del cronograma</t>
  </si>
  <si>
    <t xml:space="preserve">SV = EV − PV  (negativo = atraso)</t>
  </si>
  <si>
    <t xml:space="preserve">CPI — índice de desempeño del costo</t>
  </si>
  <si>
    <t xml:space="preserve">CPI = EV / AC  (&lt; 1 = sobrecosto)</t>
  </si>
  <si>
    <t xml:space="preserve">SPI — índice de desempeño del cronograma</t>
  </si>
  <si>
    <t xml:space="preserve">SPI = EV / PV  (&lt; 1 = atraso)</t>
  </si>
  <si>
    <t xml:space="preserve">EAC (CPI típico)</t>
  </si>
  <si>
    <t xml:space="preserve">EAC = BAC / CPI</t>
  </si>
  <si>
    <t xml:space="preserve">EAC (variación atípica)</t>
  </si>
  <si>
    <t xml:space="preserve">EAC = AC + (BAC − EV)</t>
  </si>
  <si>
    <t xml:space="preserve">EAC (CPI y SPI)</t>
  </si>
  <si>
    <t xml:space="preserve">EAC = AC + (BAC − EV) / (CPI × SPI)</t>
  </si>
  <si>
    <t xml:space="preserve">ETC — estimación hasta concluir</t>
  </si>
  <si>
    <t xml:space="preserve">ETC = EAC − AC</t>
  </si>
  <si>
    <t xml:space="preserve">VAC — variación a la conclusión</t>
  </si>
  <si>
    <t xml:space="preserve">VAC = BAC − EAC</t>
  </si>
  <si>
    <t xml:space="preserve">TCPI — índice de desempeño por completar</t>
  </si>
  <si>
    <t xml:space="preserve">TCPI = (BAC − EV) / (BAC − AC)</t>
  </si>
  <si>
    <t xml:space="preserve">Lectura:</t>
  </si>
  <si>
    <t xml:space="preserve">Viabilidad económica de la inversión</t>
  </si>
  <si>
    <t xml:space="preserve">Compara el presupuesto con el beneficio esperado por la recuperación de clientes en riesgo.</t>
  </si>
  <si>
    <t xml:space="preserve">Fórmula / fuente</t>
  </si>
  <si>
    <t xml:space="preserve">Clientes en riesgo de abandono por año</t>
  </si>
  <si>
    <t xml:space="preserve">Dato del análisis de la cartera (contexto del proyecto)</t>
  </si>
  <si>
    <t xml:space="preserve">Tasa de recuperación esperada</t>
  </si>
  <si>
    <t xml:space="preserve">Supuesto conservador del equipo</t>
  </si>
  <si>
    <t xml:space="preserve">Clientes recuperados por año</t>
  </si>
  <si>
    <t xml:space="preserve">Clientes en riesgo × tasa de recuperación</t>
  </si>
  <si>
    <t xml:space="preserve">Ingreso anual por cliente (S/)</t>
  </si>
  <si>
    <t xml:space="preserve">Ticket promedio anual por cliente (supuesto)</t>
  </si>
  <si>
    <t xml:space="preserve">Beneficio bruto anual (S/)</t>
  </si>
  <si>
    <t xml:space="preserve">Clientes recuperados × ingreso por cliente</t>
  </si>
  <si>
    <t xml:space="preserve">Costo anual de operación del CRM (S/)</t>
  </si>
  <si>
    <t xml:space="preserve">Hosting, mantenimiento y soporte (supuesto)</t>
  </si>
  <si>
    <t xml:space="preserve">Beneficio neto anual (S/)</t>
  </si>
  <si>
    <t xml:space="preserve">Beneficio bruto − costo de operación</t>
  </si>
  <si>
    <t xml:space="preserve">Tasa de descuento</t>
  </si>
  <si>
    <t xml:space="preserve">Costo de oportunidad del capital (supuesto)</t>
  </si>
  <si>
    <t xml:space="preserve">Inversión: presupuesto total (S/)</t>
  </si>
  <si>
    <t xml:space="preserve">VAN a 3 años (S/)</t>
  </si>
  <si>
    <t xml:space="preserve">VAN = −Inversión + Σ BN / (1 + i)^t, t = 1..3</t>
  </si>
  <si>
    <t xml:space="preserve">VAN a 5 años (S/)</t>
  </si>
  <si>
    <t xml:space="preserve">VAN = −Inversión + Σ BN / (1 + i)^t, t = 1..5</t>
  </si>
  <si>
    <t xml:space="preserve">ROI a 5 años</t>
  </si>
  <si>
    <t xml:space="preserve">ROI = (Σ beneficios netos − inversión) / inversión</t>
  </si>
  <si>
    <t xml:space="preserve">Periodo de recuperación (años)</t>
  </si>
  <si>
    <t xml:space="preserve">Inversión / beneficio neto anual</t>
  </si>
  <si>
    <t xml:space="preserve">Desembolso real del spa (S/)</t>
  </si>
  <si>
    <t xml:space="preserve">No laborales + contingencia + reserva de gestión (las horas del equipo se valorizan pero no se pagan)</t>
  </si>
  <si>
    <t xml:space="preserve">Recuperación del desembolso real (meses)</t>
  </si>
  <si>
    <t xml:space="preserve">Desembolso real / beneficio neto mensual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</si>
</sst>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&quot;S/ &quot;#,##0;[RED]&quot;-S/ &quot;#,##0;\-"/>
    <numFmt numFmtId="166" formatCode="0"/>
    <numFmt numFmtId="167" formatCode="&quot;S/ &quot;#,##0.00;[RED]&quot;-S/ &quot;#,##0.00;\-"/>
    <numFmt numFmtId="168" formatCode="#,##0.0;\-#,##0.0;\-"/>
    <numFmt numFmtId="169" formatCode="0.0%;\-0.0%;\-"/>
    <numFmt numFmtId="170" formatCode="0.00"/>
    <numFmt numFmtId="171" formatCode="#,##0"/>
    <numFmt numFmtId="172" formatCode="dd/mm/yyyy"/>
    <numFmt numFmtId="173" formatCode="0.000"/>
    <numFmt numFmtId="174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E8EEF5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rgb="FFD9E2E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78787"/>
      <rgbColor rgb="FF9999FF"/>
      <rgbColor rgb="FF9D3E3B"/>
      <rgbColor rgb="FFF9F9F9"/>
      <rgbColor rgb="FFE8EE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EC"/>
      <rgbColor rgb="FFCCFFCC"/>
      <rgbColor rgb="FFFFFF99"/>
      <rgbColor rgb="FF99CCFF"/>
      <rgbColor rgb="FFD4A5A4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A5F"/>
      <rgbColor rgb="FF339966"/>
      <rgbColor rgb="FF003300"/>
      <rgbColor rgb="FF333300"/>
      <rgbColor rgb="FF993300"/>
      <rgbColor rgb="FFBE4B48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Costo por entregable (S/)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Presupuesto!B4</c:f>
              <c:strCache>
                <c:ptCount val="1"/>
                <c:pt idx="0">
                  <c:v>Costo estimado (S/)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Presupuesto!$A$5:$A$12</c:f>
              <c:strCache>
                <c:ptCount val="8"/>
                <c:pt idx="0">
                  <c:v>1.1 Gestión del proyecto</c:v>
                </c:pt>
                <c:pt idx="1">
                  <c:v>1.2 Análisis y diseño</c:v>
                </c:pt>
                <c:pt idx="2">
                  <c:v>1.3 Datos y modelo predictivo</c:v>
                </c:pt>
                <c:pt idx="3">
                  <c:v>1.4 Backend e integración</c:v>
                </c:pt>
                <c:pt idx="4">
                  <c:v>1.5 Aplicación web CRM</c:v>
                </c:pt>
                <c:pt idx="5">
                  <c:v>1.6 Módulo de retención</c:v>
                </c:pt>
                <c:pt idx="6">
                  <c:v>1.7 Pruebas y calidad</c:v>
                </c:pt>
                <c:pt idx="7">
                  <c:v>1.8 Despliegue y transición</c:v>
                </c:pt>
              </c:strCache>
            </c:strRef>
          </c:cat>
          <c:val>
            <c:numRef>
              <c:f>Presupuesto!$B$5:$B$12</c:f>
              <c:numCache>
                <c:formatCode>"S/ "#,##0;[RED]"-S/ "#,##0;\-</c:formatCode>
                <c:ptCount val="8"/>
                <c:pt idx="0">
                  <c:v>9048</c:v>
                </c:pt>
                <c:pt idx="1">
                  <c:v>3304</c:v>
                </c:pt>
                <c:pt idx="2">
                  <c:v>4905</c:v>
                </c:pt>
                <c:pt idx="3">
                  <c:v>3575</c:v>
                </c:pt>
                <c:pt idx="4">
                  <c:v>2880</c:v>
                </c:pt>
                <c:pt idx="5">
                  <c:v>3184</c:v>
                </c:pt>
                <c:pt idx="6">
                  <c:v>2544</c:v>
                </c:pt>
                <c:pt idx="7">
                  <c:v>8098</c:v>
                </c:pt>
              </c:numCache>
            </c:numRef>
          </c:val>
        </c:ser>
        <c:gapWidth val="150"/>
        <c:overlap val="0"/>
        <c:axId val="50411511"/>
        <c:axId val="6687986"/>
      </c:barChart>
      <c:catAx>
        <c:axId val="50411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7986"/>
        <c:crosses val="autoZero"/>
        <c:auto val="1"/>
        <c:lblAlgn val="ctr"/>
        <c:lblOffset val="100"/>
        <c:noMultiLvlLbl val="0"/>
      </c:catAx>
      <c:valAx>
        <c:axId val="66879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115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Curva S del proyecto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'Curva S'!D4</c:f>
              <c:strCache>
                <c:ptCount val="1"/>
                <c:pt idx="0">
                  <c:v>PV acumulado (S/)</c:v>
                </c:pt>
              </c:strCache>
            </c:strRef>
          </c:tx>
          <c:spPr>
            <a:solidFill>
              <a:srgbClr val="9d3e3b"/>
            </a:solidFill>
            <a:ln w="4752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'Curva S'!$B$5:$B$22</c:f>
              <c:strCache>
                <c:ptCount val="18"/>
                <c:pt idx="0">
                  <c:v>18/09/2026</c:v>
                </c:pt>
                <c:pt idx="1">
                  <c:v>25/09/2026</c:v>
                </c:pt>
                <c:pt idx="2">
                  <c:v>02/10/2026</c:v>
                </c:pt>
                <c:pt idx="3">
                  <c:v>09/10/2026</c:v>
                </c:pt>
                <c:pt idx="4">
                  <c:v>16/10/2026</c:v>
                </c:pt>
                <c:pt idx="5">
                  <c:v>23/10/2026</c:v>
                </c:pt>
                <c:pt idx="6">
                  <c:v>30/10/2026</c:v>
                </c:pt>
                <c:pt idx="7">
                  <c:v>06/11/2026</c:v>
                </c:pt>
                <c:pt idx="8">
                  <c:v>13/11/2026</c:v>
                </c:pt>
                <c:pt idx="9">
                  <c:v>20/11/2026</c:v>
                </c:pt>
                <c:pt idx="10">
                  <c:v>27/11/2026</c:v>
                </c:pt>
                <c:pt idx="11">
                  <c:v>04/12/2026</c:v>
                </c:pt>
                <c:pt idx="12">
                  <c:v>11/12/2026</c:v>
                </c:pt>
                <c:pt idx="13">
                  <c:v>18/12/2026</c:v>
                </c:pt>
                <c:pt idx="14">
                  <c:v>25/12/2026</c:v>
                </c:pt>
                <c:pt idx="15">
                  <c:v>01/01/2027</c:v>
                </c:pt>
                <c:pt idx="16">
                  <c:v>08/01/2027</c:v>
                </c:pt>
                <c:pt idx="17">
                  <c:v>15/01/2027</c:v>
                </c:pt>
              </c:strCache>
            </c:strRef>
          </c:cat>
          <c:val>
            <c:numRef>
              <c:f>'Curva S'!$D$5:$D$22</c:f>
              <c:numCache>
                <c:formatCode>"S/ "#,##0;[RED]"-S/ "#,##0;\-</c:formatCode>
                <c:ptCount val="18"/>
                <c:pt idx="0">
                  <c:v>1120</c:v>
                </c:pt>
                <c:pt idx="1">
                  <c:v>2000</c:v>
                </c:pt>
                <c:pt idx="2">
                  <c:v>4912</c:v>
                </c:pt>
                <c:pt idx="3">
                  <c:v>6936</c:v>
                </c:pt>
                <c:pt idx="4">
                  <c:v>9797</c:v>
                </c:pt>
                <c:pt idx="5">
                  <c:v>12182</c:v>
                </c:pt>
                <c:pt idx="6">
                  <c:v>15481</c:v>
                </c:pt>
                <c:pt idx="7">
                  <c:v>17976</c:v>
                </c:pt>
                <c:pt idx="8">
                  <c:v>20349</c:v>
                </c:pt>
                <c:pt idx="9">
                  <c:v>22624</c:v>
                </c:pt>
                <c:pt idx="10">
                  <c:v>24032</c:v>
                </c:pt>
                <c:pt idx="11">
                  <c:v>25696</c:v>
                </c:pt>
                <c:pt idx="12">
                  <c:v>26708</c:v>
                </c:pt>
                <c:pt idx="13">
                  <c:v>29404</c:v>
                </c:pt>
                <c:pt idx="14">
                  <c:v>30622</c:v>
                </c:pt>
                <c:pt idx="15">
                  <c:v>32862</c:v>
                </c:pt>
                <c:pt idx="16">
                  <c:v>36338</c:v>
                </c:pt>
                <c:pt idx="17">
                  <c:v>37538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'Curva S'!E4</c:f>
              <c:strCache>
                <c:ptCount val="1"/>
                <c:pt idx="0">
                  <c:v>Línea base BAC (S/)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'Curva S'!$B$5:$B$22</c:f>
              <c:strCache>
                <c:ptCount val="18"/>
                <c:pt idx="0">
                  <c:v>18/09/2026</c:v>
                </c:pt>
                <c:pt idx="1">
                  <c:v>25/09/2026</c:v>
                </c:pt>
                <c:pt idx="2">
                  <c:v>02/10/2026</c:v>
                </c:pt>
                <c:pt idx="3">
                  <c:v>09/10/2026</c:v>
                </c:pt>
                <c:pt idx="4">
                  <c:v>16/10/2026</c:v>
                </c:pt>
                <c:pt idx="5">
                  <c:v>23/10/2026</c:v>
                </c:pt>
                <c:pt idx="6">
                  <c:v>30/10/2026</c:v>
                </c:pt>
                <c:pt idx="7">
                  <c:v>06/11/2026</c:v>
                </c:pt>
                <c:pt idx="8">
                  <c:v>13/11/2026</c:v>
                </c:pt>
                <c:pt idx="9">
                  <c:v>20/11/2026</c:v>
                </c:pt>
                <c:pt idx="10">
                  <c:v>27/11/2026</c:v>
                </c:pt>
                <c:pt idx="11">
                  <c:v>04/12/2026</c:v>
                </c:pt>
                <c:pt idx="12">
                  <c:v>11/12/2026</c:v>
                </c:pt>
                <c:pt idx="13">
                  <c:v>18/12/2026</c:v>
                </c:pt>
                <c:pt idx="14">
                  <c:v>25/12/2026</c:v>
                </c:pt>
                <c:pt idx="15">
                  <c:v>01/01/2027</c:v>
                </c:pt>
                <c:pt idx="16">
                  <c:v>08/01/2027</c:v>
                </c:pt>
                <c:pt idx="17">
                  <c:v>15/01/2027</c:v>
                </c:pt>
              </c:strCache>
            </c:strRef>
          </c:cat>
          <c:val>
            <c:numRef>
              <c:f>'Curva S'!$E$5:$E$22</c:f>
              <c:numCache>
                <c:formatCode>"S/ "#,##0;[RED]"-S/ "#,##0;\-</c:formatCode>
                <c:ptCount val="18"/>
                <c:pt idx="0">
                  <c:v>40063</c:v>
                </c:pt>
                <c:pt idx="1">
                  <c:v>40063</c:v>
                </c:pt>
                <c:pt idx="2">
                  <c:v>40063</c:v>
                </c:pt>
                <c:pt idx="3">
                  <c:v>40063</c:v>
                </c:pt>
                <c:pt idx="4">
                  <c:v>40063</c:v>
                </c:pt>
                <c:pt idx="5">
                  <c:v>40063</c:v>
                </c:pt>
                <c:pt idx="6">
                  <c:v>40063</c:v>
                </c:pt>
                <c:pt idx="7">
                  <c:v>40063</c:v>
                </c:pt>
                <c:pt idx="8">
                  <c:v>40063</c:v>
                </c:pt>
                <c:pt idx="9">
                  <c:v>40063</c:v>
                </c:pt>
                <c:pt idx="10">
                  <c:v>40063</c:v>
                </c:pt>
                <c:pt idx="11">
                  <c:v>40063</c:v>
                </c:pt>
                <c:pt idx="12">
                  <c:v>40063</c:v>
                </c:pt>
                <c:pt idx="13">
                  <c:v>40063</c:v>
                </c:pt>
                <c:pt idx="14">
                  <c:v>40063</c:v>
                </c:pt>
                <c:pt idx="15">
                  <c:v>40063</c:v>
                </c:pt>
                <c:pt idx="16">
                  <c:v>40063</c:v>
                </c:pt>
                <c:pt idx="17">
                  <c:v>40063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'Curva S'!F4</c:f>
              <c:strCache>
                <c:ptCount val="1"/>
                <c:pt idx="0">
                  <c:v>Presupuesto total (S/)</c:v>
                </c:pt>
              </c:strCache>
            </c:strRef>
          </c:tx>
          <c:spPr>
            <a:solidFill>
              <a:srgbClr val="d4a5a4"/>
            </a:solidFill>
            <a:ln w="4752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'Curva S'!$B$5:$B$22</c:f>
              <c:strCache>
                <c:ptCount val="18"/>
                <c:pt idx="0">
                  <c:v>18/09/2026</c:v>
                </c:pt>
                <c:pt idx="1">
                  <c:v>25/09/2026</c:v>
                </c:pt>
                <c:pt idx="2">
                  <c:v>02/10/2026</c:v>
                </c:pt>
                <c:pt idx="3">
                  <c:v>09/10/2026</c:v>
                </c:pt>
                <c:pt idx="4">
                  <c:v>16/10/2026</c:v>
                </c:pt>
                <c:pt idx="5">
                  <c:v>23/10/2026</c:v>
                </c:pt>
                <c:pt idx="6">
                  <c:v>30/10/2026</c:v>
                </c:pt>
                <c:pt idx="7">
                  <c:v>06/11/2026</c:v>
                </c:pt>
                <c:pt idx="8">
                  <c:v>13/11/2026</c:v>
                </c:pt>
                <c:pt idx="9">
                  <c:v>20/11/2026</c:v>
                </c:pt>
                <c:pt idx="10">
                  <c:v>27/11/2026</c:v>
                </c:pt>
                <c:pt idx="11">
                  <c:v>04/12/2026</c:v>
                </c:pt>
                <c:pt idx="12">
                  <c:v>11/12/2026</c:v>
                </c:pt>
                <c:pt idx="13">
                  <c:v>18/12/2026</c:v>
                </c:pt>
                <c:pt idx="14">
                  <c:v>25/12/2026</c:v>
                </c:pt>
                <c:pt idx="15">
                  <c:v>01/01/2027</c:v>
                </c:pt>
                <c:pt idx="16">
                  <c:v>08/01/2027</c:v>
                </c:pt>
                <c:pt idx="17">
                  <c:v>15/01/2027</c:v>
                </c:pt>
              </c:strCache>
            </c:strRef>
          </c:cat>
          <c:val>
            <c:numRef>
              <c:f>'Curva S'!$F$5:$F$22</c:f>
              <c:numCache>
                <c:formatCode>"S/ "#,##0;[RED]"-S/ "#,##0;\-</c:formatCode>
                <c:ptCount val="18"/>
                <c:pt idx="0">
                  <c:v>42066</c:v>
                </c:pt>
                <c:pt idx="1">
                  <c:v>42066</c:v>
                </c:pt>
                <c:pt idx="2">
                  <c:v>42066</c:v>
                </c:pt>
                <c:pt idx="3">
                  <c:v>42066</c:v>
                </c:pt>
                <c:pt idx="4">
                  <c:v>42066</c:v>
                </c:pt>
                <c:pt idx="5">
                  <c:v>42066</c:v>
                </c:pt>
                <c:pt idx="6">
                  <c:v>42066</c:v>
                </c:pt>
                <c:pt idx="7">
                  <c:v>42066</c:v>
                </c:pt>
                <c:pt idx="8">
                  <c:v>42066</c:v>
                </c:pt>
                <c:pt idx="9">
                  <c:v>42066</c:v>
                </c:pt>
                <c:pt idx="10">
                  <c:v>42066</c:v>
                </c:pt>
                <c:pt idx="11">
                  <c:v>42066</c:v>
                </c:pt>
                <c:pt idx="12">
                  <c:v>42066</c:v>
                </c:pt>
                <c:pt idx="13">
                  <c:v>42066</c:v>
                </c:pt>
                <c:pt idx="14">
                  <c:v>42066</c:v>
                </c:pt>
                <c:pt idx="15">
                  <c:v>42066</c:v>
                </c:pt>
                <c:pt idx="16">
                  <c:v>42066</c:v>
                </c:pt>
                <c:pt idx="17">
                  <c:v>42066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288020"/>
        <c:axId val="65823511"/>
      </c:lineChart>
      <c:catAx>
        <c:axId val="51288020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23511"/>
        <c:crosses val="autoZero"/>
        <c:auto val="1"/>
        <c:lblAlgn val="ctr"/>
        <c:lblOffset val="100"/>
        <c:noMultiLvlLbl val="0"/>
      </c:catAx>
      <c:valAx>
        <c:axId val="658235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S/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880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14</xdr:col>
      <xdr:colOff>364680</xdr:colOff>
      <xdr:row>18</xdr:row>
      <xdr:rowOff>142920</xdr:rowOff>
    </xdr:to>
    <xdr:graphicFrame>
      <xdr:nvGraphicFramePr>
        <xdr:cNvPr id="0" name="Chart 1"/>
        <xdr:cNvGraphicFramePr/>
      </xdr:nvGraphicFramePr>
      <xdr:xfrm>
        <a:off x="695520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18</xdr:col>
      <xdr:colOff>473040</xdr:colOff>
      <xdr:row>20</xdr:row>
      <xdr:rowOff>122040</xdr:rowOff>
    </xdr:to>
    <xdr:graphicFrame>
      <xdr:nvGraphicFramePr>
        <xdr:cNvPr id="1" name="Chart 1"/>
        <xdr:cNvGraphicFramePr/>
      </xdr:nvGraphicFramePr>
      <xdr:xfrm>
        <a:off x="730764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Paquetes!M42</f>
        <v>35096</v>
      </c>
      <c r="C5" s="4" t="s">
        <v>6</v>
      </c>
    </row>
    <row r="6" customFormat="false" ht="15" hidden="false" customHeight="false" outlineLevel="0" collapsed="false">
      <c r="A6" s="4" t="s">
        <v>7</v>
      </c>
      <c r="B6" s="5" t="n">
        <f aca="false">'No laborales'!C13</f>
        <v>2210</v>
      </c>
      <c r="C6" s="4" t="s">
        <v>8</v>
      </c>
    </row>
    <row r="7" customFormat="false" ht="15" hidden="false" customHeight="false" outlineLevel="0" collapsed="false">
      <c r="A7" s="4" t="s">
        <v>9</v>
      </c>
      <c r="B7" s="5" t="n">
        <f aca="false">Paquetes!V42-Paquetes!O42</f>
        <v>232</v>
      </c>
      <c r="C7" s="4" t="s">
        <v>10</v>
      </c>
    </row>
    <row r="8" customFormat="false" ht="15" hidden="false" customHeight="false" outlineLevel="0" collapsed="false">
      <c r="A8" s="6" t="s">
        <v>11</v>
      </c>
      <c r="B8" s="7" t="n">
        <f aca="false">Presupuesto!B13</f>
        <v>37538</v>
      </c>
      <c r="C8" s="8" t="s">
        <v>12</v>
      </c>
    </row>
    <row r="9" customFormat="false" ht="15" hidden="false" customHeight="false" outlineLevel="0" collapsed="false">
      <c r="A9" s="4" t="s">
        <v>13</v>
      </c>
      <c r="B9" s="5" t="n">
        <f aca="false">Presupuesto!B14</f>
        <v>2525</v>
      </c>
      <c r="C9" s="4" t="s">
        <v>14</v>
      </c>
    </row>
    <row r="10" customFormat="false" ht="15" hidden="false" customHeight="false" outlineLevel="0" collapsed="false">
      <c r="A10" s="6" t="s">
        <v>15</v>
      </c>
      <c r="B10" s="7" t="n">
        <f aca="false">Presupuesto!B15</f>
        <v>40063</v>
      </c>
      <c r="C10" s="8" t="s">
        <v>16</v>
      </c>
    </row>
    <row r="11" customFormat="false" ht="15" hidden="false" customHeight="false" outlineLevel="0" collapsed="false">
      <c r="A11" s="4" t="s">
        <v>17</v>
      </c>
      <c r="B11" s="5" t="n">
        <f aca="false">Presupuesto!B17</f>
        <v>2003</v>
      </c>
      <c r="C11" s="4" t="s">
        <v>18</v>
      </c>
    </row>
    <row r="12" customFormat="false" ht="15" hidden="false" customHeight="false" outlineLevel="0" collapsed="false">
      <c r="A12" s="9" t="s">
        <v>19</v>
      </c>
      <c r="B12" s="10" t="n">
        <f aca="false">Presupuesto!B18</f>
        <v>42066</v>
      </c>
      <c r="C12" s="9" t="s">
        <v>20</v>
      </c>
    </row>
    <row r="13" customFormat="false" ht="15" hidden="false" customHeight="false" outlineLevel="0" collapsed="false">
      <c r="A13" s="4" t="s">
        <v>21</v>
      </c>
      <c r="B13" s="5" t="n">
        <f aca="false">Presupuesto!B20</f>
        <v>42200</v>
      </c>
      <c r="C13" s="4" t="s">
        <v>22</v>
      </c>
    </row>
    <row r="14" customFormat="false" ht="15" hidden="false" customHeight="false" outlineLevel="0" collapsed="false">
      <c r="A14" s="4" t="s">
        <v>23</v>
      </c>
      <c r="B14" s="5" t="n">
        <f aca="false">Presupuesto!B21</f>
        <v>134</v>
      </c>
      <c r="C14" s="4" t="s">
        <v>24</v>
      </c>
    </row>
    <row r="16" customFormat="false" ht="15" hidden="false" customHeight="false" outlineLevel="0" collapsed="false">
      <c r="A16" s="11" t="s">
        <v>25</v>
      </c>
    </row>
    <row r="17" customFormat="false" ht="15" hidden="false" customHeight="false" outlineLevel="0" collapsed="false">
      <c r="A17" s="12" t="s">
        <v>26</v>
      </c>
      <c r="B17" s="13" t="s">
        <v>27</v>
      </c>
    </row>
    <row r="18" customFormat="false" ht="15" hidden="false" customHeight="false" outlineLevel="0" collapsed="false">
      <c r="A18" s="14" t="s">
        <v>28</v>
      </c>
      <c r="B18" s="13" t="s">
        <v>29</v>
      </c>
    </row>
    <row r="19" customFormat="false" ht="15" hidden="false" customHeight="false" outlineLevel="0" collapsed="false">
      <c r="A19" s="15" t="s">
        <v>30</v>
      </c>
      <c r="B19" s="13" t="s">
        <v>31</v>
      </c>
    </row>
    <row r="20" customFormat="false" ht="15" hidden="false" customHeight="false" outlineLevel="0" collapsed="false">
      <c r="A20" s="16" t="s">
        <v>32</v>
      </c>
      <c r="B20" s="13" t="s">
        <v>33</v>
      </c>
    </row>
    <row r="22" customFormat="false" ht="15" hidden="false" customHeight="false" outlineLevel="0" collapsed="false">
      <c r="A22" s="11" t="s">
        <v>34</v>
      </c>
    </row>
    <row r="23" customFormat="false" ht="15" hidden="false" customHeight="false" outlineLevel="0" collapsed="false">
      <c r="A23" s="15" t="s">
        <v>35</v>
      </c>
      <c r="B23" s="13" t="s">
        <v>36</v>
      </c>
    </row>
    <row r="24" customFormat="false" ht="15" hidden="false" customHeight="false" outlineLevel="0" collapsed="false">
      <c r="A24" s="15" t="s">
        <v>37</v>
      </c>
      <c r="B24" s="13" t="s">
        <v>38</v>
      </c>
    </row>
    <row r="25" customFormat="false" ht="15" hidden="false" customHeight="false" outlineLevel="0" collapsed="false">
      <c r="A25" s="15" t="s">
        <v>39</v>
      </c>
      <c r="B25" s="13" t="s">
        <v>40</v>
      </c>
    </row>
    <row r="26" customFormat="false" ht="15" hidden="false" customHeight="false" outlineLevel="0" collapsed="false">
      <c r="A26" s="15" t="s">
        <v>41</v>
      </c>
      <c r="B26" s="13" t="s">
        <v>42</v>
      </c>
    </row>
    <row r="27" customFormat="false" ht="15" hidden="false" customHeight="false" outlineLevel="0" collapsed="false">
      <c r="A27" s="15" t="s">
        <v>43</v>
      </c>
      <c r="B27" s="13" t="s">
        <v>44</v>
      </c>
    </row>
    <row r="28" customFormat="false" ht="15" hidden="false" customHeight="false" outlineLevel="0" collapsed="false">
      <c r="A28" s="15" t="s">
        <v>45</v>
      </c>
      <c r="B28" s="13" t="s">
        <v>46</v>
      </c>
    </row>
    <row r="29" customFormat="false" ht="15" hidden="false" customHeight="false" outlineLevel="0" collapsed="false">
      <c r="A29" s="15" t="s">
        <v>47</v>
      </c>
      <c r="B29" s="13" t="s">
        <v>48</v>
      </c>
    </row>
    <row r="30" customFormat="false" ht="15" hidden="false" customHeight="false" outlineLevel="0" collapsed="false">
      <c r="A30" s="15" t="s">
        <v>49</v>
      </c>
      <c r="B30" s="1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A4" s="17" t="s">
        <v>53</v>
      </c>
      <c r="C4" s="18" t="n">
        <v>160</v>
      </c>
    </row>
    <row r="6" customFormat="false" ht="31.5" hidden="false" customHeight="true" outlineLevel="0" collapsed="false">
      <c r="A6" s="3" t="s">
        <v>54</v>
      </c>
      <c r="B6" s="3" t="s">
        <v>55</v>
      </c>
      <c r="C6" s="3" t="s">
        <v>56</v>
      </c>
      <c r="D6" s="3" t="s">
        <v>57</v>
      </c>
      <c r="E6" s="3" t="s">
        <v>58</v>
      </c>
      <c r="F6" s="3" t="s">
        <v>59</v>
      </c>
      <c r="G6" s="3" t="s">
        <v>60</v>
      </c>
    </row>
    <row r="7" customFormat="false" ht="15" hidden="false" customHeight="false" outlineLevel="0" collapsed="false">
      <c r="A7" s="4" t="s">
        <v>61</v>
      </c>
      <c r="B7" s="4" t="s">
        <v>62</v>
      </c>
      <c r="C7" s="19" t="n">
        <v>4800</v>
      </c>
      <c r="D7" s="20" t="n">
        <f aca="false">C7/$C$4</f>
        <v>30</v>
      </c>
      <c r="E7" s="21" t="n">
        <f aca="false">Paquetes!D42</f>
        <v>305.6</v>
      </c>
      <c r="F7" s="22" t="n">
        <f aca="false">D7*E7</f>
        <v>9168</v>
      </c>
      <c r="G7" s="23" t="n">
        <f aca="false">IF($F$15=0,0,F7/$F$15)</f>
        <v>0.261226350581263</v>
      </c>
    </row>
    <row r="8" customFormat="false" ht="15" hidden="false" customHeight="false" outlineLevel="0" collapsed="false">
      <c r="A8" s="4" t="s">
        <v>63</v>
      </c>
      <c r="B8" s="4" t="s">
        <v>64</v>
      </c>
      <c r="C8" s="19" t="n">
        <v>3200</v>
      </c>
      <c r="D8" s="20" t="n">
        <f aca="false">C8/$C$4</f>
        <v>20</v>
      </c>
      <c r="E8" s="21" t="n">
        <f aca="false">Paquetes!E42</f>
        <v>128</v>
      </c>
      <c r="F8" s="22" t="n">
        <f aca="false">D8*E8</f>
        <v>2560</v>
      </c>
      <c r="G8" s="23" t="n">
        <f aca="false">IF($F$15=0,0,F8/$F$15)</f>
        <v>0.0729427855026214</v>
      </c>
    </row>
    <row r="9" customFormat="false" ht="15" hidden="false" customHeight="false" outlineLevel="0" collapsed="false">
      <c r="A9" s="4" t="s">
        <v>65</v>
      </c>
      <c r="B9" s="4" t="s">
        <v>66</v>
      </c>
      <c r="C9" s="19" t="n">
        <v>4000</v>
      </c>
      <c r="D9" s="20" t="n">
        <f aca="false">C9/$C$4</f>
        <v>25</v>
      </c>
      <c r="E9" s="21" t="n">
        <f aca="false">Paquetes!F42</f>
        <v>208</v>
      </c>
      <c r="F9" s="22" t="n">
        <f aca="false">D9*E9</f>
        <v>5200</v>
      </c>
      <c r="G9" s="23" t="n">
        <f aca="false">IF($F$15=0,0,F9/$F$15)</f>
        <v>0.1481650330522</v>
      </c>
    </row>
    <row r="10" customFormat="false" ht="15" hidden="false" customHeight="false" outlineLevel="0" collapsed="false">
      <c r="A10" s="4" t="s">
        <v>67</v>
      </c>
      <c r="B10" s="4" t="s">
        <v>68</v>
      </c>
      <c r="C10" s="19" t="n">
        <v>3520</v>
      </c>
      <c r="D10" s="20" t="n">
        <f aca="false">C10/$C$4</f>
        <v>22</v>
      </c>
      <c r="E10" s="21" t="n">
        <f aca="false">Paquetes!G42</f>
        <v>344</v>
      </c>
      <c r="F10" s="22" t="n">
        <f aca="false">D10*E10</f>
        <v>7568</v>
      </c>
      <c r="G10" s="23" t="n">
        <f aca="false">IF($F$15=0,0,F10/$F$15)</f>
        <v>0.215637109642124</v>
      </c>
    </row>
    <row r="11" customFormat="false" ht="15" hidden="false" customHeight="false" outlineLevel="0" collapsed="false">
      <c r="A11" s="4" t="s">
        <v>69</v>
      </c>
      <c r="B11" s="4" t="s">
        <v>70</v>
      </c>
      <c r="C11" s="19" t="n">
        <v>3200</v>
      </c>
      <c r="D11" s="20" t="n">
        <f aca="false">C11/$C$4</f>
        <v>20</v>
      </c>
      <c r="E11" s="21" t="n">
        <f aca="false">Paquetes!H42</f>
        <v>304</v>
      </c>
      <c r="F11" s="22" t="n">
        <f aca="false">D11*E11</f>
        <v>6080</v>
      </c>
      <c r="G11" s="23" t="n">
        <f aca="false">IF($F$15=0,0,F11/$F$15)</f>
        <v>0.173239115568726</v>
      </c>
    </row>
    <row r="12" customFormat="false" ht="15" hidden="false" customHeight="false" outlineLevel="0" collapsed="false">
      <c r="A12" s="4" t="s">
        <v>71</v>
      </c>
      <c r="B12" s="4" t="s">
        <v>72</v>
      </c>
      <c r="C12" s="19" t="n">
        <v>2560</v>
      </c>
      <c r="D12" s="20" t="n">
        <f aca="false">C12/$C$4</f>
        <v>16</v>
      </c>
      <c r="E12" s="21" t="n">
        <f aca="false">Paquetes!I42</f>
        <v>240</v>
      </c>
      <c r="F12" s="22" t="n">
        <f aca="false">D12*E12</f>
        <v>3840</v>
      </c>
      <c r="G12" s="23" t="n">
        <f aca="false">IF($F$15=0,0,F12/$F$15)</f>
        <v>0.109414178253932</v>
      </c>
    </row>
    <row r="13" customFormat="false" ht="15" hidden="false" customHeight="false" outlineLevel="0" collapsed="false">
      <c r="A13" s="4" t="s">
        <v>73</v>
      </c>
      <c r="B13" s="4" t="s">
        <v>74</v>
      </c>
      <c r="C13" s="19" t="n">
        <v>2400</v>
      </c>
      <c r="D13" s="20" t="n">
        <f aca="false">C13/$C$4</f>
        <v>15</v>
      </c>
      <c r="E13" s="21" t="n">
        <f aca="false">Paquetes!J42</f>
        <v>32</v>
      </c>
      <c r="F13" s="22" t="n">
        <f aca="false">D13*E13</f>
        <v>480</v>
      </c>
      <c r="G13" s="23" t="n">
        <f aca="false">IF($F$15=0,0,F13/$F$15)</f>
        <v>0.0136767722817415</v>
      </c>
    </row>
    <row r="14" customFormat="false" ht="15" hidden="false" customHeight="false" outlineLevel="0" collapsed="false">
      <c r="A14" s="4" t="s">
        <v>75</v>
      </c>
      <c r="B14" s="4" t="s">
        <v>76</v>
      </c>
      <c r="C14" s="19" t="n">
        <v>4000</v>
      </c>
      <c r="D14" s="20" t="n">
        <f aca="false">C14/$C$4</f>
        <v>25</v>
      </c>
      <c r="E14" s="21" t="n">
        <f aca="false">Paquetes!K42</f>
        <v>8</v>
      </c>
      <c r="F14" s="22" t="n">
        <f aca="false">D14*E14</f>
        <v>200</v>
      </c>
      <c r="G14" s="23" t="n">
        <f aca="false">IF($F$15=0,0,F14/$F$15)</f>
        <v>0.0056986551173923</v>
      </c>
    </row>
    <row r="15" customFormat="false" ht="15" hidden="false" customHeight="false" outlineLevel="0" collapsed="false">
      <c r="A15" s="24" t="s">
        <v>77</v>
      </c>
      <c r="B15" s="25"/>
      <c r="C15" s="25"/>
      <c r="D15" s="25"/>
      <c r="E15" s="26" t="n">
        <f aca="false">SUM(E7:E14)</f>
        <v>1569.6</v>
      </c>
      <c r="F15" s="27" t="n">
        <f aca="false">SUM(F7:F14)</f>
        <v>35096</v>
      </c>
      <c r="G15" s="28" t="n">
        <f aca="false">SUM(G7:G14)</f>
        <v>1</v>
      </c>
    </row>
    <row r="17" customFormat="false" ht="15" hidden="false" customHeight="false" outlineLevel="0" collapsed="false">
      <c r="A17" s="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7</v>
      </c>
    </row>
    <row r="2" customFormat="false" ht="15" hidden="false" customHeight="false" outlineLevel="0" collapsed="false">
      <c r="A2" s="2" t="s">
        <v>79</v>
      </c>
    </row>
    <row r="4" customFormat="false" ht="31.5" hidden="false" customHeight="true" outlineLevel="0" collapsed="false">
      <c r="A4" s="3" t="s">
        <v>80</v>
      </c>
      <c r="B4" s="3" t="s">
        <v>81</v>
      </c>
      <c r="C4" s="3" t="s">
        <v>3</v>
      </c>
    </row>
    <row r="5" customFormat="false" ht="15" hidden="false" customHeight="false" outlineLevel="0" collapsed="false">
      <c r="A5" s="4" t="s">
        <v>82</v>
      </c>
      <c r="B5" s="4" t="s">
        <v>83</v>
      </c>
      <c r="C5" s="19" t="n">
        <v>120</v>
      </c>
    </row>
    <row r="6" customFormat="false" ht="15" hidden="false" customHeight="false" outlineLevel="0" collapsed="false">
      <c r="A6" s="4" t="s">
        <v>84</v>
      </c>
      <c r="B6" s="4" t="s">
        <v>85</v>
      </c>
      <c r="C6" s="19" t="n">
        <v>480</v>
      </c>
    </row>
    <row r="7" customFormat="false" ht="15" hidden="false" customHeight="false" outlineLevel="0" collapsed="false">
      <c r="A7" s="4" t="s">
        <v>86</v>
      </c>
      <c r="B7" s="4" t="s">
        <v>87</v>
      </c>
      <c r="C7" s="19" t="n">
        <v>80</v>
      </c>
    </row>
    <row r="8" customFormat="false" ht="15" hidden="false" customHeight="false" outlineLevel="0" collapsed="false">
      <c r="A8" s="4" t="s">
        <v>88</v>
      </c>
      <c r="B8" s="4" t="s">
        <v>89</v>
      </c>
      <c r="C8" s="19" t="n">
        <v>380</v>
      </c>
    </row>
    <row r="9" customFormat="false" ht="15" hidden="false" customHeight="false" outlineLevel="0" collapsed="false">
      <c r="A9" s="4" t="s">
        <v>88</v>
      </c>
      <c r="B9" s="4" t="s">
        <v>90</v>
      </c>
      <c r="C9" s="19" t="n">
        <v>260</v>
      </c>
    </row>
    <row r="10" customFormat="false" ht="15" hidden="false" customHeight="false" outlineLevel="0" collapsed="false">
      <c r="A10" s="4" t="s">
        <v>91</v>
      </c>
      <c r="B10" s="4" t="s">
        <v>92</v>
      </c>
      <c r="C10" s="19" t="n">
        <v>180</v>
      </c>
    </row>
    <row r="11" customFormat="false" ht="15" hidden="false" customHeight="false" outlineLevel="0" collapsed="false">
      <c r="A11" s="4" t="s">
        <v>93</v>
      </c>
      <c r="B11" s="4" t="s">
        <v>94</v>
      </c>
      <c r="C11" s="19" t="n">
        <v>210</v>
      </c>
    </row>
    <row r="12" customFormat="false" ht="15" hidden="false" customHeight="false" outlineLevel="0" collapsed="false">
      <c r="A12" s="4" t="s">
        <v>95</v>
      </c>
      <c r="B12" s="4" t="s">
        <v>96</v>
      </c>
      <c r="C12" s="19" t="n">
        <v>500</v>
      </c>
    </row>
    <row r="13" customFormat="false" ht="15" hidden="false" customHeight="false" outlineLevel="0" collapsed="false">
      <c r="A13" s="24" t="s">
        <v>77</v>
      </c>
      <c r="B13" s="25"/>
      <c r="C13" s="27" t="n">
        <f aca="false">SUM(C5:C12)</f>
        <v>2210</v>
      </c>
    </row>
    <row r="15" customFormat="false" ht="15" hidden="false" customHeight="false" outlineLevel="0" collapsed="false">
      <c r="A15" s="2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11" min="4" style="0" width="10"/>
    <col collapsed="false" customWidth="true" hidden="false" outlineLevel="0" max="21" min="12" style="0" width="13"/>
    <col collapsed="false" customWidth="true" hidden="false" outlineLevel="0" max="22" min="22" style="0" width="15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C4" s="29" t="s">
        <v>100</v>
      </c>
      <c r="D4" s="30" t="n">
        <f aca="false">Tarifas!D7</f>
        <v>30</v>
      </c>
      <c r="E4" s="30" t="n">
        <f aca="false">Tarifas!D8</f>
        <v>20</v>
      </c>
      <c r="F4" s="30" t="n">
        <f aca="false">Tarifas!D9</f>
        <v>25</v>
      </c>
      <c r="G4" s="30" t="n">
        <f aca="false">Tarifas!D10</f>
        <v>22</v>
      </c>
      <c r="H4" s="30" t="n">
        <f aca="false">Tarifas!D11</f>
        <v>20</v>
      </c>
      <c r="I4" s="30" t="n">
        <f aca="false">Tarifas!D12</f>
        <v>16</v>
      </c>
      <c r="J4" s="30" t="n">
        <f aca="false">Tarifas!D13</f>
        <v>15</v>
      </c>
      <c r="K4" s="30" t="n">
        <f aca="false">Tarifas!D14</f>
        <v>25</v>
      </c>
    </row>
    <row r="5" customFormat="false" ht="48" hidden="false" customHeight="true" outlineLevel="0" collapsed="false">
      <c r="A5" s="3" t="s">
        <v>80</v>
      </c>
      <c r="B5" s="3" t="s">
        <v>101</v>
      </c>
      <c r="C5" s="3" t="s">
        <v>102</v>
      </c>
      <c r="D5" s="3" t="s">
        <v>103</v>
      </c>
      <c r="E5" s="3" t="s">
        <v>104</v>
      </c>
      <c r="F5" s="3" t="s">
        <v>105</v>
      </c>
      <c r="G5" s="3" t="s">
        <v>106</v>
      </c>
      <c r="H5" s="3" t="s">
        <v>107</v>
      </c>
      <c r="I5" s="3" t="s">
        <v>108</v>
      </c>
      <c r="J5" s="3" t="s">
        <v>109</v>
      </c>
      <c r="K5" s="3" t="s">
        <v>110</v>
      </c>
      <c r="L5" s="3" t="s">
        <v>111</v>
      </c>
      <c r="M5" s="3" t="s">
        <v>112</v>
      </c>
      <c r="N5" s="3" t="s">
        <v>113</v>
      </c>
      <c r="O5" s="3" t="s">
        <v>114</v>
      </c>
      <c r="P5" s="3" t="s">
        <v>115</v>
      </c>
      <c r="Q5" s="3" t="s">
        <v>116</v>
      </c>
      <c r="R5" s="3" t="s">
        <v>117</v>
      </c>
      <c r="S5" s="3" t="s">
        <v>118</v>
      </c>
      <c r="T5" s="3" t="s">
        <v>119</v>
      </c>
      <c r="U5" s="3" t="s">
        <v>120</v>
      </c>
      <c r="V5" s="3" t="s">
        <v>121</v>
      </c>
    </row>
    <row r="6" customFormat="false" ht="15" hidden="false" customHeight="false" outlineLevel="0" collapsed="false">
      <c r="A6" s="4" t="s">
        <v>82</v>
      </c>
      <c r="B6" s="4" t="s">
        <v>122</v>
      </c>
      <c r="C6" s="4" t="s">
        <v>123</v>
      </c>
      <c r="D6" s="31" t="n">
        <v>24</v>
      </c>
      <c r="E6" s="31"/>
      <c r="F6" s="31"/>
      <c r="G6" s="31"/>
      <c r="H6" s="31"/>
      <c r="I6" s="31"/>
      <c r="J6" s="31"/>
      <c r="K6" s="31"/>
      <c r="L6" s="32" t="n">
        <f aca="false">SUM(D6:K6)</f>
        <v>24</v>
      </c>
      <c r="M6" s="22" t="n">
        <f aca="false">ROUND(SUMPRODUCT(D6:K6,$D$4:$K$4),0)</f>
        <v>720</v>
      </c>
      <c r="N6" s="5" t="n">
        <f aca="false">SUMIF('No laborales'!$A$5:$A$12,A6,'No laborales'!$C$5:$C$12)</f>
        <v>120</v>
      </c>
      <c r="O6" s="22" t="n">
        <f aca="false">M6+N6</f>
        <v>840</v>
      </c>
      <c r="P6" s="33"/>
      <c r="Q6" s="33"/>
      <c r="R6" s="22" t="str">
        <f aca="false">IF(P6="","",O6*P6)</f>
        <v/>
      </c>
      <c r="S6" s="22" t="str">
        <f aca="false">IF(Q6="","",O6*Q6)</f>
        <v/>
      </c>
      <c r="T6" s="22" t="str">
        <f aca="false">IF(P6="","",(R6+4*O6+S6)/6)</f>
        <v/>
      </c>
      <c r="U6" s="22" t="str">
        <f aca="false">IF(P6="","",(S6-R6)/6)</f>
        <v/>
      </c>
      <c r="V6" s="34" t="n">
        <f aca="false">IF(P6="",O6,ROUND(T6,0))</f>
        <v>840</v>
      </c>
    </row>
    <row r="7" customFormat="false" ht="15" hidden="false" customHeight="false" outlineLevel="0" collapsed="false">
      <c r="A7" s="4" t="s">
        <v>124</v>
      </c>
      <c r="B7" s="4" t="s">
        <v>122</v>
      </c>
      <c r="C7" s="4" t="s">
        <v>125</v>
      </c>
      <c r="D7" s="31" t="n">
        <v>32</v>
      </c>
      <c r="E7" s="31"/>
      <c r="F7" s="31"/>
      <c r="G7" s="31"/>
      <c r="H7" s="31"/>
      <c r="I7" s="31"/>
      <c r="J7" s="31"/>
      <c r="K7" s="31"/>
      <c r="L7" s="32" t="n">
        <f aca="false">SUM(D7:K7)</f>
        <v>32</v>
      </c>
      <c r="M7" s="22" t="n">
        <f aca="false">ROUND(SUMPRODUCT(D7:K7,$D$4:$K$4),0)</f>
        <v>960</v>
      </c>
      <c r="N7" s="5" t="n">
        <f aca="false">SUMIF('No laborales'!$A$5:$A$12,A7,'No laborales'!$C$5:$C$12)</f>
        <v>0</v>
      </c>
      <c r="O7" s="22" t="n">
        <f aca="false">M7+N7</f>
        <v>960</v>
      </c>
      <c r="P7" s="33"/>
      <c r="Q7" s="33"/>
      <c r="R7" s="22" t="str">
        <f aca="false">IF(P7="","",O7*P7)</f>
        <v/>
      </c>
      <c r="S7" s="22" t="str">
        <f aca="false">IF(Q7="","",O7*Q7)</f>
        <v/>
      </c>
      <c r="T7" s="22" t="str">
        <f aca="false">IF(P7="","",(R7+4*O7+S7)/6)</f>
        <v/>
      </c>
      <c r="U7" s="22" t="str">
        <f aca="false">IF(P7="","",(S7-R7)/6)</f>
        <v/>
      </c>
      <c r="V7" s="34" t="n">
        <f aca="false">IF(P7="",O7,ROUND(T7,0))</f>
        <v>960</v>
      </c>
    </row>
    <row r="8" customFormat="false" ht="15" hidden="false" customHeight="false" outlineLevel="0" collapsed="false">
      <c r="A8" s="4" t="s">
        <v>84</v>
      </c>
      <c r="B8" s="4" t="s">
        <v>122</v>
      </c>
      <c r="C8" s="4" t="s">
        <v>126</v>
      </c>
      <c r="D8" s="31" t="n">
        <v>201.6</v>
      </c>
      <c r="E8" s="31"/>
      <c r="F8" s="31"/>
      <c r="G8" s="31"/>
      <c r="H8" s="31"/>
      <c r="I8" s="31"/>
      <c r="J8" s="31"/>
      <c r="K8" s="31"/>
      <c r="L8" s="32" t="n">
        <f aca="false">SUM(D8:K8)</f>
        <v>201.6</v>
      </c>
      <c r="M8" s="22" t="n">
        <f aca="false">ROUND(SUMPRODUCT(D8:K8,$D$4:$K$4),0)</f>
        <v>6048</v>
      </c>
      <c r="N8" s="5" t="n">
        <f aca="false">SUMIF('No laborales'!$A$5:$A$12,A8,'No laborales'!$C$5:$C$12)</f>
        <v>480</v>
      </c>
      <c r="O8" s="22" t="n">
        <f aca="false">M8+N8</f>
        <v>6528</v>
      </c>
      <c r="P8" s="33"/>
      <c r="Q8" s="33"/>
      <c r="R8" s="22" t="str">
        <f aca="false">IF(P8="","",O8*P8)</f>
        <v/>
      </c>
      <c r="S8" s="22" t="str">
        <f aca="false">IF(Q8="","",O8*Q8)</f>
        <v/>
      </c>
      <c r="T8" s="22" t="str">
        <f aca="false">IF(P8="","",(R8+4*O8+S8)/6)</f>
        <v/>
      </c>
      <c r="U8" s="22" t="str">
        <f aca="false">IF(P8="","",(S8-R8)/6)</f>
        <v/>
      </c>
      <c r="V8" s="34" t="n">
        <f aca="false">IF(P8="",O8,ROUND(T8,0))</f>
        <v>6528</v>
      </c>
    </row>
    <row r="9" customFormat="false" ht="15" hidden="false" customHeight="false" outlineLevel="0" collapsed="false">
      <c r="A9" s="4" t="s">
        <v>127</v>
      </c>
      <c r="B9" s="4" t="s">
        <v>122</v>
      </c>
      <c r="C9" s="4" t="s">
        <v>128</v>
      </c>
      <c r="D9" s="31" t="n">
        <v>24</v>
      </c>
      <c r="E9" s="31"/>
      <c r="F9" s="31"/>
      <c r="G9" s="31"/>
      <c r="H9" s="31"/>
      <c r="I9" s="31"/>
      <c r="J9" s="31"/>
      <c r="K9" s="31"/>
      <c r="L9" s="32" t="n">
        <f aca="false">SUM(D9:K9)</f>
        <v>24</v>
      </c>
      <c r="M9" s="22" t="n">
        <f aca="false">ROUND(SUMPRODUCT(D9:K9,$D$4:$K$4),0)</f>
        <v>720</v>
      </c>
      <c r="N9" s="5" t="n">
        <f aca="false">SUMIF('No laborales'!$A$5:$A$12,A9,'No laborales'!$C$5:$C$12)</f>
        <v>0</v>
      </c>
      <c r="O9" s="22" t="n">
        <f aca="false">M9+N9</f>
        <v>720</v>
      </c>
      <c r="P9" s="33"/>
      <c r="Q9" s="33"/>
      <c r="R9" s="22" t="str">
        <f aca="false">IF(P9="","",O9*P9)</f>
        <v/>
      </c>
      <c r="S9" s="22" t="str">
        <f aca="false">IF(Q9="","",O9*Q9)</f>
        <v/>
      </c>
      <c r="T9" s="22" t="str">
        <f aca="false">IF(P9="","",(R9+4*O9+S9)/6)</f>
        <v/>
      </c>
      <c r="U9" s="22" t="str">
        <f aca="false">IF(P9="","",(S9-R9)/6)</f>
        <v/>
      </c>
      <c r="V9" s="34" t="n">
        <f aca="false">IF(P9="",O9,ROUND(T9,0))</f>
        <v>720</v>
      </c>
    </row>
    <row r="10" customFormat="false" ht="15" hidden="false" customHeight="false" outlineLevel="0" collapsed="false">
      <c r="A10" s="4" t="s">
        <v>86</v>
      </c>
      <c r="B10" s="4" t="s">
        <v>129</v>
      </c>
      <c r="C10" s="4" t="s">
        <v>130</v>
      </c>
      <c r="D10" s="31"/>
      <c r="E10" s="31" t="n">
        <v>32</v>
      </c>
      <c r="F10" s="31"/>
      <c r="G10" s="31"/>
      <c r="H10" s="31"/>
      <c r="I10" s="31"/>
      <c r="J10" s="31" t="n">
        <v>8</v>
      </c>
      <c r="K10" s="31"/>
      <c r="L10" s="32" t="n">
        <f aca="false">SUM(D10:K10)</f>
        <v>40</v>
      </c>
      <c r="M10" s="22" t="n">
        <f aca="false">ROUND(SUMPRODUCT(D10:K10,$D$4:$K$4),0)</f>
        <v>760</v>
      </c>
      <c r="N10" s="5" t="n">
        <f aca="false">SUMIF('No laborales'!$A$5:$A$12,A10,'No laborales'!$C$5:$C$12)</f>
        <v>80</v>
      </c>
      <c r="O10" s="22" t="n">
        <f aca="false">M10+N10</f>
        <v>840</v>
      </c>
      <c r="P10" s="33"/>
      <c r="Q10" s="33"/>
      <c r="R10" s="22" t="str">
        <f aca="false">IF(P10="","",O10*P10)</f>
        <v/>
      </c>
      <c r="S10" s="22" t="str">
        <f aca="false">IF(Q10="","",O10*Q10)</f>
        <v/>
      </c>
      <c r="T10" s="22" t="str">
        <f aca="false">IF(P10="","",(R10+4*O10+S10)/6)</f>
        <v/>
      </c>
      <c r="U10" s="22" t="str">
        <f aca="false">IF(P10="","",(S10-R10)/6)</f>
        <v/>
      </c>
      <c r="V10" s="34" t="n">
        <f aca="false">IF(P10="",O10,ROUND(T10,0))</f>
        <v>840</v>
      </c>
    </row>
    <row r="11" customFormat="false" ht="15" hidden="false" customHeight="false" outlineLevel="0" collapsed="false">
      <c r="A11" s="4" t="s">
        <v>131</v>
      </c>
      <c r="B11" s="4" t="s">
        <v>129</v>
      </c>
      <c r="C11" s="4" t="s">
        <v>132</v>
      </c>
      <c r="D11" s="31"/>
      <c r="E11" s="31" t="n">
        <v>32</v>
      </c>
      <c r="F11" s="31"/>
      <c r="G11" s="31"/>
      <c r="H11" s="31"/>
      <c r="I11" s="31"/>
      <c r="J11" s="31"/>
      <c r="K11" s="31"/>
      <c r="L11" s="32" t="n">
        <f aca="false">SUM(D11:K11)</f>
        <v>32</v>
      </c>
      <c r="M11" s="22" t="n">
        <f aca="false">ROUND(SUMPRODUCT(D11:K11,$D$4:$K$4),0)</f>
        <v>640</v>
      </c>
      <c r="N11" s="5" t="n">
        <f aca="false">SUMIF('No laborales'!$A$5:$A$12,A11,'No laborales'!$C$5:$C$12)</f>
        <v>0</v>
      </c>
      <c r="O11" s="22" t="n">
        <f aca="false">M11+N11</f>
        <v>640</v>
      </c>
      <c r="P11" s="33"/>
      <c r="Q11" s="33"/>
      <c r="R11" s="22" t="str">
        <f aca="false">IF(P11="","",O11*P11)</f>
        <v/>
      </c>
      <c r="S11" s="22" t="str">
        <f aca="false">IF(Q11="","",O11*Q11)</f>
        <v/>
      </c>
      <c r="T11" s="22" t="str">
        <f aca="false">IF(P11="","",(R11+4*O11+S11)/6)</f>
        <v/>
      </c>
      <c r="U11" s="22" t="str">
        <f aca="false">IF(P11="","",(S11-R11)/6)</f>
        <v/>
      </c>
      <c r="V11" s="34" t="n">
        <f aca="false">IF(P11="",O11,ROUND(T11,0))</f>
        <v>640</v>
      </c>
    </row>
    <row r="12" customFormat="false" ht="15" hidden="false" customHeight="false" outlineLevel="0" collapsed="false">
      <c r="A12" s="4" t="s">
        <v>133</v>
      </c>
      <c r="B12" s="4" t="s">
        <v>129</v>
      </c>
      <c r="C12" s="4" t="s">
        <v>134</v>
      </c>
      <c r="D12" s="31"/>
      <c r="E12" s="31"/>
      <c r="F12" s="31"/>
      <c r="G12" s="31" t="n">
        <v>32</v>
      </c>
      <c r="H12" s="31"/>
      <c r="I12" s="31"/>
      <c r="J12" s="31"/>
      <c r="K12" s="31"/>
      <c r="L12" s="32" t="n">
        <f aca="false">SUM(D12:K12)</f>
        <v>32</v>
      </c>
      <c r="M12" s="22" t="n">
        <f aca="false">ROUND(SUMPRODUCT(D12:K12,$D$4:$K$4),0)</f>
        <v>704</v>
      </c>
      <c r="N12" s="5" t="n">
        <f aca="false">SUMIF('No laborales'!$A$5:$A$12,A12,'No laborales'!$C$5:$C$12)</f>
        <v>0</v>
      </c>
      <c r="O12" s="22" t="n">
        <f aca="false">M12+N12</f>
        <v>704</v>
      </c>
      <c r="P12" s="33"/>
      <c r="Q12" s="33"/>
      <c r="R12" s="22" t="str">
        <f aca="false">IF(P12="","",O12*P12)</f>
        <v/>
      </c>
      <c r="S12" s="22" t="str">
        <f aca="false">IF(Q12="","",O12*Q12)</f>
        <v/>
      </c>
      <c r="T12" s="22" t="str">
        <f aca="false">IF(P12="","",(R12+4*O12+S12)/6)</f>
        <v/>
      </c>
      <c r="U12" s="22" t="str">
        <f aca="false">IF(P12="","",(S12-R12)/6)</f>
        <v/>
      </c>
      <c r="V12" s="34" t="n">
        <f aca="false">IF(P12="",O12,ROUND(T12,0))</f>
        <v>704</v>
      </c>
    </row>
    <row r="13" customFormat="false" ht="15" hidden="false" customHeight="false" outlineLevel="0" collapsed="false">
      <c r="A13" s="4" t="s">
        <v>135</v>
      </c>
      <c r="B13" s="4" t="s">
        <v>129</v>
      </c>
      <c r="C13" s="4" t="s">
        <v>136</v>
      </c>
      <c r="D13" s="31"/>
      <c r="E13" s="31"/>
      <c r="F13" s="31"/>
      <c r="G13" s="31"/>
      <c r="H13" s="31" t="n">
        <v>32</v>
      </c>
      <c r="I13" s="31"/>
      <c r="J13" s="31"/>
      <c r="K13" s="31"/>
      <c r="L13" s="32" t="n">
        <f aca="false">SUM(D13:K13)</f>
        <v>32</v>
      </c>
      <c r="M13" s="22" t="n">
        <f aca="false">ROUND(SUMPRODUCT(D13:K13,$D$4:$K$4),0)</f>
        <v>640</v>
      </c>
      <c r="N13" s="5" t="n">
        <f aca="false">SUMIF('No laborales'!$A$5:$A$12,A13,'No laborales'!$C$5:$C$12)</f>
        <v>0</v>
      </c>
      <c r="O13" s="22" t="n">
        <f aca="false">M13+N13</f>
        <v>640</v>
      </c>
      <c r="P13" s="33"/>
      <c r="Q13" s="33"/>
      <c r="R13" s="22" t="str">
        <f aca="false">IF(P13="","",O13*P13)</f>
        <v/>
      </c>
      <c r="S13" s="22" t="str">
        <f aca="false">IF(Q13="","",O13*Q13)</f>
        <v/>
      </c>
      <c r="T13" s="22" t="str">
        <f aca="false">IF(P13="","",(R13+4*O13+S13)/6)</f>
        <v/>
      </c>
      <c r="U13" s="22" t="str">
        <f aca="false">IF(P13="","",(S13-R13)/6)</f>
        <v/>
      </c>
      <c r="V13" s="34" t="n">
        <f aca="false">IF(P13="",O13,ROUND(T13,0))</f>
        <v>640</v>
      </c>
    </row>
    <row r="14" customFormat="false" ht="15" hidden="false" customHeight="false" outlineLevel="0" collapsed="false">
      <c r="A14" s="4" t="s">
        <v>137</v>
      </c>
      <c r="B14" s="4" t="s">
        <v>129</v>
      </c>
      <c r="C14" s="4" t="s">
        <v>138</v>
      </c>
      <c r="D14" s="31"/>
      <c r="E14" s="31" t="n">
        <v>24</v>
      </c>
      <c r="F14" s="31"/>
      <c r="G14" s="31"/>
      <c r="H14" s="31"/>
      <c r="I14" s="31"/>
      <c r="J14" s="31"/>
      <c r="K14" s="31"/>
      <c r="L14" s="32" t="n">
        <f aca="false">SUM(D14:K14)</f>
        <v>24</v>
      </c>
      <c r="M14" s="22" t="n">
        <f aca="false">ROUND(SUMPRODUCT(D14:K14,$D$4:$K$4),0)</f>
        <v>480</v>
      </c>
      <c r="N14" s="5" t="n">
        <f aca="false">SUMIF('No laborales'!$A$5:$A$12,A14,'No laborales'!$C$5:$C$12)</f>
        <v>0</v>
      </c>
      <c r="O14" s="22" t="n">
        <f aca="false">M14+N14</f>
        <v>480</v>
      </c>
      <c r="P14" s="33"/>
      <c r="Q14" s="33"/>
      <c r="R14" s="22" t="str">
        <f aca="false">IF(P14="","",O14*P14)</f>
        <v/>
      </c>
      <c r="S14" s="22" t="str">
        <f aca="false">IF(Q14="","",O14*Q14)</f>
        <v/>
      </c>
      <c r="T14" s="22" t="str">
        <f aca="false">IF(P14="","",(R14+4*O14+S14)/6)</f>
        <v/>
      </c>
      <c r="U14" s="22" t="str">
        <f aca="false">IF(P14="","",(S14-R14)/6)</f>
        <v/>
      </c>
      <c r="V14" s="34" t="n">
        <f aca="false">IF(P14="",O14,ROUND(T14,0))</f>
        <v>480</v>
      </c>
    </row>
    <row r="15" customFormat="false" ht="15" hidden="false" customHeight="false" outlineLevel="0" collapsed="false">
      <c r="A15" s="4" t="s">
        <v>139</v>
      </c>
      <c r="B15" s="4" t="s">
        <v>140</v>
      </c>
      <c r="C15" s="4" t="s">
        <v>141</v>
      </c>
      <c r="D15" s="31"/>
      <c r="E15" s="31"/>
      <c r="F15" s="31" t="n">
        <v>24</v>
      </c>
      <c r="G15" s="31"/>
      <c r="H15" s="31"/>
      <c r="I15" s="31"/>
      <c r="J15" s="31"/>
      <c r="K15" s="31"/>
      <c r="L15" s="32" t="n">
        <f aca="false">SUM(D15:K15)</f>
        <v>24</v>
      </c>
      <c r="M15" s="22" t="n">
        <f aca="false">ROUND(SUMPRODUCT(D15:K15,$D$4:$K$4),0)</f>
        <v>600</v>
      </c>
      <c r="N15" s="5" t="n">
        <f aca="false">SUMIF('No laborales'!$A$5:$A$12,A15,'No laborales'!$C$5:$C$12)</f>
        <v>0</v>
      </c>
      <c r="O15" s="22" t="n">
        <f aca="false">M15+N15</f>
        <v>600</v>
      </c>
      <c r="P15" s="33"/>
      <c r="Q15" s="33"/>
      <c r="R15" s="22" t="str">
        <f aca="false">IF(P15="","",O15*P15)</f>
        <v/>
      </c>
      <c r="S15" s="22" t="str">
        <f aca="false">IF(Q15="","",O15*Q15)</f>
        <v/>
      </c>
      <c r="T15" s="22" t="str">
        <f aca="false">IF(P15="","",(R15+4*O15+S15)/6)</f>
        <v/>
      </c>
      <c r="U15" s="22" t="str">
        <f aca="false">IF(P15="","",(S15-R15)/6)</f>
        <v/>
      </c>
      <c r="V15" s="34" t="n">
        <f aca="false">IF(P15="",O15,ROUND(T15,0))</f>
        <v>600</v>
      </c>
    </row>
    <row r="16" customFormat="false" ht="15" hidden="false" customHeight="false" outlineLevel="0" collapsed="false">
      <c r="A16" s="4" t="s">
        <v>142</v>
      </c>
      <c r="B16" s="4" t="s">
        <v>140</v>
      </c>
      <c r="C16" s="4" t="s">
        <v>143</v>
      </c>
      <c r="D16" s="31"/>
      <c r="E16" s="31"/>
      <c r="F16" s="31" t="n">
        <v>32</v>
      </c>
      <c r="G16" s="31"/>
      <c r="H16" s="31"/>
      <c r="I16" s="31"/>
      <c r="J16" s="31"/>
      <c r="K16" s="31"/>
      <c r="L16" s="32" t="n">
        <f aca="false">SUM(D16:K16)</f>
        <v>32</v>
      </c>
      <c r="M16" s="22" t="n">
        <f aca="false">ROUND(SUMPRODUCT(D16:K16,$D$4:$K$4),0)</f>
        <v>800</v>
      </c>
      <c r="N16" s="5" t="n">
        <f aca="false">SUMIF('No laborales'!$A$5:$A$12,A16,'No laborales'!$C$5:$C$12)</f>
        <v>0</v>
      </c>
      <c r="O16" s="22" t="n">
        <f aca="false">M16+N16</f>
        <v>800</v>
      </c>
      <c r="P16" s="33"/>
      <c r="Q16" s="33"/>
      <c r="R16" s="22" t="str">
        <f aca="false">IF(P16="","",O16*P16)</f>
        <v/>
      </c>
      <c r="S16" s="22" t="str">
        <f aca="false">IF(Q16="","",O16*Q16)</f>
        <v/>
      </c>
      <c r="T16" s="22" t="str">
        <f aca="false">IF(P16="","",(R16+4*O16+S16)/6)</f>
        <v/>
      </c>
      <c r="U16" s="22" t="str">
        <f aca="false">IF(P16="","",(S16-R16)/6)</f>
        <v/>
      </c>
      <c r="V16" s="34" t="n">
        <f aca="false">IF(P16="",O16,ROUND(T16,0))</f>
        <v>800</v>
      </c>
    </row>
    <row r="17" customFormat="false" ht="15" hidden="false" customHeight="false" outlineLevel="0" collapsed="false">
      <c r="A17" s="4" t="s">
        <v>144</v>
      </c>
      <c r="B17" s="4" t="s">
        <v>140</v>
      </c>
      <c r="C17" s="4" t="s">
        <v>145</v>
      </c>
      <c r="D17" s="31"/>
      <c r="E17" s="31"/>
      <c r="F17" s="31" t="n">
        <v>40</v>
      </c>
      <c r="G17" s="31"/>
      <c r="H17" s="31"/>
      <c r="I17" s="31"/>
      <c r="J17" s="31"/>
      <c r="K17" s="31"/>
      <c r="L17" s="32" t="n">
        <f aca="false">SUM(D17:K17)</f>
        <v>40</v>
      </c>
      <c r="M17" s="22" t="n">
        <f aca="false">ROUND(SUMPRODUCT(D17:K17,$D$4:$K$4),0)</f>
        <v>1000</v>
      </c>
      <c r="N17" s="5" t="n">
        <f aca="false">SUMIF('No laborales'!$A$5:$A$12,A17,'No laborales'!$C$5:$C$12)</f>
        <v>0</v>
      </c>
      <c r="O17" s="22" t="n">
        <f aca="false">M17+N17</f>
        <v>1000</v>
      </c>
      <c r="P17" s="33"/>
      <c r="Q17" s="33"/>
      <c r="R17" s="22" t="str">
        <f aca="false">IF(P17="","",O17*P17)</f>
        <v/>
      </c>
      <c r="S17" s="22" t="str">
        <f aca="false">IF(Q17="","",O17*Q17)</f>
        <v/>
      </c>
      <c r="T17" s="22" t="str">
        <f aca="false">IF(P17="","",(R17+4*O17+S17)/6)</f>
        <v/>
      </c>
      <c r="U17" s="22" t="str">
        <f aca="false">IF(P17="","",(S17-R17)/6)</f>
        <v/>
      </c>
      <c r="V17" s="34" t="n">
        <f aca="false">IF(P17="",O17,ROUND(T17,0))</f>
        <v>1000</v>
      </c>
    </row>
    <row r="18" customFormat="false" ht="15" hidden="false" customHeight="false" outlineLevel="0" collapsed="false">
      <c r="A18" s="4" t="s">
        <v>146</v>
      </c>
      <c r="B18" s="4" t="s">
        <v>140</v>
      </c>
      <c r="C18" s="4" t="s">
        <v>147</v>
      </c>
      <c r="D18" s="31"/>
      <c r="E18" s="31"/>
      <c r="F18" s="31" t="n">
        <v>56</v>
      </c>
      <c r="G18" s="31"/>
      <c r="H18" s="31"/>
      <c r="I18" s="31"/>
      <c r="J18" s="31"/>
      <c r="K18" s="31"/>
      <c r="L18" s="32" t="n">
        <f aca="false">SUM(D18:K18)</f>
        <v>56</v>
      </c>
      <c r="M18" s="22" t="n">
        <f aca="false">ROUND(SUMPRODUCT(D18:K18,$D$4:$K$4),0)</f>
        <v>1400</v>
      </c>
      <c r="N18" s="5" t="n">
        <f aca="false">SUMIF('No laborales'!$A$5:$A$12,A18,'No laborales'!$C$5:$C$12)</f>
        <v>0</v>
      </c>
      <c r="O18" s="22" t="n">
        <f aca="false">M18+N18</f>
        <v>1400</v>
      </c>
      <c r="P18" s="35" t="n">
        <v>0.85</v>
      </c>
      <c r="Q18" s="35" t="n">
        <v>1.6</v>
      </c>
      <c r="R18" s="22" t="n">
        <f aca="false">IF(P18="","",O18*P18)</f>
        <v>1190</v>
      </c>
      <c r="S18" s="22" t="n">
        <f aca="false">IF(Q18="","",O18*Q18)</f>
        <v>2240</v>
      </c>
      <c r="T18" s="22" t="n">
        <f aca="false">IF(P18="","",(R18+4*O18+S18)/6)</f>
        <v>1505</v>
      </c>
      <c r="U18" s="22" t="n">
        <f aca="false">IF(P18="","",(S18-R18)/6)</f>
        <v>175</v>
      </c>
      <c r="V18" s="34" t="n">
        <f aca="false">IF(P18="",O18,ROUND(T18,0))</f>
        <v>1505</v>
      </c>
    </row>
    <row r="19" customFormat="false" ht="15" hidden="false" customHeight="false" outlineLevel="0" collapsed="false">
      <c r="A19" s="4" t="s">
        <v>148</v>
      </c>
      <c r="B19" s="4" t="s">
        <v>140</v>
      </c>
      <c r="C19" s="4" t="s">
        <v>149</v>
      </c>
      <c r="D19" s="31"/>
      <c r="E19" s="31"/>
      <c r="F19" s="31" t="n">
        <v>32</v>
      </c>
      <c r="G19" s="31"/>
      <c r="H19" s="31"/>
      <c r="I19" s="31"/>
      <c r="J19" s="31"/>
      <c r="K19" s="31" t="n">
        <v>8</v>
      </c>
      <c r="L19" s="32" t="n">
        <f aca="false">SUM(D19:K19)</f>
        <v>40</v>
      </c>
      <c r="M19" s="22" t="n">
        <f aca="false">ROUND(SUMPRODUCT(D19:K19,$D$4:$K$4),0)</f>
        <v>1000</v>
      </c>
      <c r="N19" s="5" t="n">
        <f aca="false">SUMIF('No laborales'!$A$5:$A$12,A19,'No laborales'!$C$5:$C$12)</f>
        <v>0</v>
      </c>
      <c r="O19" s="22" t="n">
        <f aca="false">M19+N19</f>
        <v>1000</v>
      </c>
      <c r="P19" s="33"/>
      <c r="Q19" s="33"/>
      <c r="R19" s="22" t="str">
        <f aca="false">IF(P19="","",O19*P19)</f>
        <v/>
      </c>
      <c r="S19" s="22" t="str">
        <f aca="false">IF(Q19="","",O19*Q19)</f>
        <v/>
      </c>
      <c r="T19" s="22" t="str">
        <f aca="false">IF(P19="","",(R19+4*O19+S19)/6)</f>
        <v/>
      </c>
      <c r="U19" s="22" t="str">
        <f aca="false">IF(P19="","",(S19-R19)/6)</f>
        <v/>
      </c>
      <c r="V19" s="34" t="n">
        <f aca="false">IF(P19="",O19,ROUND(T19,0))</f>
        <v>1000</v>
      </c>
    </row>
    <row r="20" customFormat="false" ht="15" hidden="false" customHeight="false" outlineLevel="0" collapsed="false">
      <c r="A20" s="4" t="s">
        <v>150</v>
      </c>
      <c r="B20" s="4" t="s">
        <v>151</v>
      </c>
      <c r="C20" s="4" t="s">
        <v>152</v>
      </c>
      <c r="D20" s="31"/>
      <c r="E20" s="31"/>
      <c r="F20" s="31"/>
      <c r="G20" s="31" t="n">
        <v>24</v>
      </c>
      <c r="H20" s="31"/>
      <c r="I20" s="31"/>
      <c r="J20" s="31"/>
      <c r="K20" s="31"/>
      <c r="L20" s="32" t="n">
        <f aca="false">SUM(D20:K20)</f>
        <v>24</v>
      </c>
      <c r="M20" s="22" t="n">
        <f aca="false">ROUND(SUMPRODUCT(D20:K20,$D$4:$K$4),0)</f>
        <v>528</v>
      </c>
      <c r="N20" s="5" t="n">
        <f aca="false">SUMIF('No laborales'!$A$5:$A$12,A20,'No laborales'!$C$5:$C$12)</f>
        <v>0</v>
      </c>
      <c r="O20" s="22" t="n">
        <f aca="false">M20+N20</f>
        <v>528</v>
      </c>
      <c r="P20" s="33"/>
      <c r="Q20" s="33"/>
      <c r="R20" s="22" t="str">
        <f aca="false">IF(P20="","",O20*P20)</f>
        <v/>
      </c>
      <c r="S20" s="22" t="str">
        <f aca="false">IF(Q20="","",O20*Q20)</f>
        <v/>
      </c>
      <c r="T20" s="22" t="str">
        <f aca="false">IF(P20="","",(R20+4*O20+S20)/6)</f>
        <v/>
      </c>
      <c r="U20" s="22" t="str">
        <f aca="false">IF(P20="","",(S20-R20)/6)</f>
        <v/>
      </c>
      <c r="V20" s="34" t="n">
        <f aca="false">IF(P20="",O20,ROUND(T20,0))</f>
        <v>528</v>
      </c>
    </row>
    <row r="21" customFormat="false" ht="15" hidden="false" customHeight="false" outlineLevel="0" collapsed="false">
      <c r="A21" s="4" t="s">
        <v>153</v>
      </c>
      <c r="B21" s="4" t="s">
        <v>151</v>
      </c>
      <c r="C21" s="4" t="s">
        <v>154</v>
      </c>
      <c r="D21" s="31"/>
      <c r="E21" s="31"/>
      <c r="F21" s="31"/>
      <c r="G21" s="31" t="n">
        <v>24</v>
      </c>
      <c r="H21" s="31"/>
      <c r="I21" s="31"/>
      <c r="J21" s="31"/>
      <c r="K21" s="31"/>
      <c r="L21" s="32" t="n">
        <f aca="false">SUM(D21:K21)</f>
        <v>24</v>
      </c>
      <c r="M21" s="22" t="n">
        <f aca="false">ROUND(SUMPRODUCT(D21:K21,$D$4:$K$4),0)</f>
        <v>528</v>
      </c>
      <c r="N21" s="5" t="n">
        <f aca="false">SUMIF('No laborales'!$A$5:$A$12,A21,'No laborales'!$C$5:$C$12)</f>
        <v>0</v>
      </c>
      <c r="O21" s="22" t="n">
        <f aca="false">M21+N21</f>
        <v>528</v>
      </c>
      <c r="P21" s="33"/>
      <c r="Q21" s="33"/>
      <c r="R21" s="22" t="str">
        <f aca="false">IF(P21="","",O21*P21)</f>
        <v/>
      </c>
      <c r="S21" s="22" t="str">
        <f aca="false">IF(Q21="","",O21*Q21)</f>
        <v/>
      </c>
      <c r="T21" s="22" t="str">
        <f aca="false">IF(P21="","",(R21+4*O21+S21)/6)</f>
        <v/>
      </c>
      <c r="U21" s="22" t="str">
        <f aca="false">IF(P21="","",(S21-R21)/6)</f>
        <v/>
      </c>
      <c r="V21" s="34" t="n">
        <f aca="false">IF(P21="",O21,ROUND(T21,0))</f>
        <v>528</v>
      </c>
    </row>
    <row r="22" customFormat="false" ht="15" hidden="false" customHeight="false" outlineLevel="0" collapsed="false">
      <c r="A22" s="4" t="s">
        <v>155</v>
      </c>
      <c r="B22" s="4" t="s">
        <v>151</v>
      </c>
      <c r="C22" s="4" t="s">
        <v>156</v>
      </c>
      <c r="D22" s="31"/>
      <c r="E22" s="31"/>
      <c r="F22" s="31"/>
      <c r="G22" s="31" t="n">
        <v>24</v>
      </c>
      <c r="H22" s="31"/>
      <c r="I22" s="31"/>
      <c r="J22" s="31"/>
      <c r="K22" s="31"/>
      <c r="L22" s="32" t="n">
        <f aca="false">SUM(D22:K22)</f>
        <v>24</v>
      </c>
      <c r="M22" s="22" t="n">
        <f aca="false">ROUND(SUMPRODUCT(D22:K22,$D$4:$K$4),0)</f>
        <v>528</v>
      </c>
      <c r="N22" s="5" t="n">
        <f aca="false">SUMIF('No laborales'!$A$5:$A$12,A22,'No laborales'!$C$5:$C$12)</f>
        <v>0</v>
      </c>
      <c r="O22" s="22" t="n">
        <f aca="false">M22+N22</f>
        <v>528</v>
      </c>
      <c r="P22" s="35" t="n">
        <v>0.85</v>
      </c>
      <c r="Q22" s="35" t="n">
        <v>1.5</v>
      </c>
      <c r="R22" s="22" t="n">
        <f aca="false">IF(P22="","",O22*P22)</f>
        <v>448.8</v>
      </c>
      <c r="S22" s="22" t="n">
        <f aca="false">IF(Q22="","",O22*Q22)</f>
        <v>792</v>
      </c>
      <c r="T22" s="22" t="n">
        <f aca="false">IF(P22="","",(R22+4*O22+S22)/6)</f>
        <v>558.8</v>
      </c>
      <c r="U22" s="22" t="n">
        <f aca="false">IF(P22="","",(S22-R22)/6)</f>
        <v>57.2</v>
      </c>
      <c r="V22" s="34" t="n">
        <f aca="false">IF(P22="",O22,ROUND(T22,0))</f>
        <v>559</v>
      </c>
    </row>
    <row r="23" customFormat="false" ht="15" hidden="false" customHeight="false" outlineLevel="0" collapsed="false">
      <c r="A23" s="4" t="s">
        <v>157</v>
      </c>
      <c r="B23" s="4" t="s">
        <v>151</v>
      </c>
      <c r="C23" s="4" t="s">
        <v>158</v>
      </c>
      <c r="D23" s="31"/>
      <c r="E23" s="31"/>
      <c r="F23" s="31" t="n">
        <v>8</v>
      </c>
      <c r="G23" s="31" t="n">
        <v>32</v>
      </c>
      <c r="H23" s="31"/>
      <c r="I23" s="31"/>
      <c r="J23" s="31"/>
      <c r="K23" s="31"/>
      <c r="L23" s="32" t="n">
        <f aca="false">SUM(D23:K23)</f>
        <v>40</v>
      </c>
      <c r="M23" s="22" t="n">
        <f aca="false">ROUND(SUMPRODUCT(D23:K23,$D$4:$K$4),0)</f>
        <v>904</v>
      </c>
      <c r="N23" s="5" t="n">
        <f aca="false">SUMIF('No laborales'!$A$5:$A$12,A23,'No laborales'!$C$5:$C$12)</f>
        <v>0</v>
      </c>
      <c r="O23" s="22" t="n">
        <f aca="false">M23+N23</f>
        <v>904</v>
      </c>
      <c r="P23" s="33"/>
      <c r="Q23" s="33"/>
      <c r="R23" s="22" t="str">
        <f aca="false">IF(P23="","",O23*P23)</f>
        <v/>
      </c>
      <c r="S23" s="22" t="str">
        <f aca="false">IF(Q23="","",O23*Q23)</f>
        <v/>
      </c>
      <c r="T23" s="22" t="str">
        <f aca="false">IF(P23="","",(R23+4*O23+S23)/6)</f>
        <v/>
      </c>
      <c r="U23" s="22" t="str">
        <f aca="false">IF(P23="","",(S23-R23)/6)</f>
        <v/>
      </c>
      <c r="V23" s="34" t="n">
        <f aca="false">IF(P23="",O23,ROUND(T23,0))</f>
        <v>904</v>
      </c>
    </row>
    <row r="24" customFormat="false" ht="15" hidden="false" customHeight="false" outlineLevel="0" collapsed="false">
      <c r="A24" s="4" t="s">
        <v>159</v>
      </c>
      <c r="B24" s="4" t="s">
        <v>151</v>
      </c>
      <c r="C24" s="4" t="s">
        <v>160</v>
      </c>
      <c r="D24" s="31"/>
      <c r="E24" s="31"/>
      <c r="F24" s="31"/>
      <c r="G24" s="31" t="n">
        <v>48</v>
      </c>
      <c r="H24" s="31"/>
      <c r="I24" s="31"/>
      <c r="J24" s="31"/>
      <c r="K24" s="31"/>
      <c r="L24" s="32" t="n">
        <f aca="false">SUM(D24:K24)</f>
        <v>48</v>
      </c>
      <c r="M24" s="22" t="n">
        <f aca="false">ROUND(SUMPRODUCT(D24:K24,$D$4:$K$4),0)</f>
        <v>1056</v>
      </c>
      <c r="N24" s="5" t="n">
        <f aca="false">SUMIF('No laborales'!$A$5:$A$12,A24,'No laborales'!$C$5:$C$12)</f>
        <v>0</v>
      </c>
      <c r="O24" s="22" t="n">
        <f aca="false">M24+N24</f>
        <v>1056</v>
      </c>
      <c r="P24" s="33"/>
      <c r="Q24" s="33"/>
      <c r="R24" s="22" t="str">
        <f aca="false">IF(P24="","",O24*P24)</f>
        <v/>
      </c>
      <c r="S24" s="22" t="str">
        <f aca="false">IF(Q24="","",O24*Q24)</f>
        <v/>
      </c>
      <c r="T24" s="22" t="str">
        <f aca="false">IF(P24="","",(R24+4*O24+S24)/6)</f>
        <v/>
      </c>
      <c r="U24" s="22" t="str">
        <f aca="false">IF(P24="","",(S24-R24)/6)</f>
        <v/>
      </c>
      <c r="V24" s="34" t="n">
        <f aca="false">IF(P24="",O24,ROUND(T24,0))</f>
        <v>1056</v>
      </c>
    </row>
    <row r="25" customFormat="false" ht="15" hidden="false" customHeight="false" outlineLevel="0" collapsed="false">
      <c r="A25" s="4" t="s">
        <v>161</v>
      </c>
      <c r="B25" s="4" t="s">
        <v>162</v>
      </c>
      <c r="C25" s="4" t="s">
        <v>163</v>
      </c>
      <c r="D25" s="31"/>
      <c r="E25" s="31"/>
      <c r="F25" s="31"/>
      <c r="G25" s="31"/>
      <c r="H25" s="31" t="n">
        <v>24</v>
      </c>
      <c r="I25" s="31"/>
      <c r="J25" s="31"/>
      <c r="K25" s="31"/>
      <c r="L25" s="32" t="n">
        <f aca="false">SUM(D25:K25)</f>
        <v>24</v>
      </c>
      <c r="M25" s="22" t="n">
        <f aca="false">ROUND(SUMPRODUCT(D25:K25,$D$4:$K$4),0)</f>
        <v>480</v>
      </c>
      <c r="N25" s="5" t="n">
        <f aca="false">SUMIF('No laborales'!$A$5:$A$12,A25,'No laborales'!$C$5:$C$12)</f>
        <v>0</v>
      </c>
      <c r="O25" s="22" t="n">
        <f aca="false">M25+N25</f>
        <v>480</v>
      </c>
      <c r="P25" s="33"/>
      <c r="Q25" s="33"/>
      <c r="R25" s="22" t="str">
        <f aca="false">IF(P25="","",O25*P25)</f>
        <v/>
      </c>
      <c r="S25" s="22" t="str">
        <f aca="false">IF(Q25="","",O25*Q25)</f>
        <v/>
      </c>
      <c r="T25" s="22" t="str">
        <f aca="false">IF(P25="","",(R25+4*O25+S25)/6)</f>
        <v/>
      </c>
      <c r="U25" s="22" t="str">
        <f aca="false">IF(P25="","",(S25-R25)/6)</f>
        <v/>
      </c>
      <c r="V25" s="34" t="n">
        <f aca="false">IF(P25="",O25,ROUND(T25,0))</f>
        <v>480</v>
      </c>
    </row>
    <row r="26" customFormat="false" ht="15" hidden="false" customHeight="false" outlineLevel="0" collapsed="false">
      <c r="A26" s="4" t="s">
        <v>164</v>
      </c>
      <c r="B26" s="4" t="s">
        <v>162</v>
      </c>
      <c r="C26" s="4" t="s">
        <v>165</v>
      </c>
      <c r="D26" s="31"/>
      <c r="E26" s="31"/>
      <c r="F26" s="31"/>
      <c r="G26" s="31"/>
      <c r="H26" s="31" t="n">
        <v>40</v>
      </c>
      <c r="I26" s="31"/>
      <c r="J26" s="31"/>
      <c r="K26" s="31"/>
      <c r="L26" s="32" t="n">
        <f aca="false">SUM(D26:K26)</f>
        <v>40</v>
      </c>
      <c r="M26" s="22" t="n">
        <f aca="false">ROUND(SUMPRODUCT(D26:K26,$D$4:$K$4),0)</f>
        <v>800</v>
      </c>
      <c r="N26" s="5" t="n">
        <f aca="false">SUMIF('No laborales'!$A$5:$A$12,A26,'No laborales'!$C$5:$C$12)</f>
        <v>0</v>
      </c>
      <c r="O26" s="22" t="n">
        <f aca="false">M26+N26</f>
        <v>800</v>
      </c>
      <c r="P26" s="33"/>
      <c r="Q26" s="33"/>
      <c r="R26" s="22" t="str">
        <f aca="false">IF(P26="","",O26*P26)</f>
        <v/>
      </c>
      <c r="S26" s="22" t="str">
        <f aca="false">IF(Q26="","",O26*Q26)</f>
        <v/>
      </c>
      <c r="T26" s="22" t="str">
        <f aca="false">IF(P26="","",(R26+4*O26+S26)/6)</f>
        <v/>
      </c>
      <c r="U26" s="22" t="str">
        <f aca="false">IF(P26="","",(S26-R26)/6)</f>
        <v/>
      </c>
      <c r="V26" s="34" t="n">
        <f aca="false">IF(P26="",O26,ROUND(T26,0))</f>
        <v>800</v>
      </c>
    </row>
    <row r="27" customFormat="false" ht="15" hidden="false" customHeight="false" outlineLevel="0" collapsed="false">
      <c r="A27" s="4" t="s">
        <v>166</v>
      </c>
      <c r="B27" s="4" t="s">
        <v>162</v>
      </c>
      <c r="C27" s="4" t="s">
        <v>167</v>
      </c>
      <c r="D27" s="31"/>
      <c r="E27" s="31"/>
      <c r="F27" s="31"/>
      <c r="G27" s="31"/>
      <c r="H27" s="31" t="n">
        <v>48</v>
      </c>
      <c r="I27" s="31"/>
      <c r="J27" s="31"/>
      <c r="K27" s="31"/>
      <c r="L27" s="32" t="n">
        <f aca="false">SUM(D27:K27)</f>
        <v>48</v>
      </c>
      <c r="M27" s="22" t="n">
        <f aca="false">ROUND(SUMPRODUCT(D27:K27,$D$4:$K$4),0)</f>
        <v>960</v>
      </c>
      <c r="N27" s="5" t="n">
        <f aca="false">SUMIF('No laborales'!$A$5:$A$12,A27,'No laborales'!$C$5:$C$12)</f>
        <v>0</v>
      </c>
      <c r="O27" s="22" t="n">
        <f aca="false">M27+N27</f>
        <v>960</v>
      </c>
      <c r="P27" s="33"/>
      <c r="Q27" s="33"/>
      <c r="R27" s="22" t="str">
        <f aca="false">IF(P27="","",O27*P27)</f>
        <v/>
      </c>
      <c r="S27" s="22" t="str">
        <f aca="false">IF(Q27="","",O27*Q27)</f>
        <v/>
      </c>
      <c r="T27" s="22" t="str">
        <f aca="false">IF(P27="","",(R27+4*O27+S27)/6)</f>
        <v/>
      </c>
      <c r="U27" s="22" t="str">
        <f aca="false">IF(P27="","",(S27-R27)/6)</f>
        <v/>
      </c>
      <c r="V27" s="34" t="n">
        <f aca="false">IF(P27="",O27,ROUND(T27,0))</f>
        <v>960</v>
      </c>
    </row>
    <row r="28" customFormat="false" ht="15" hidden="false" customHeight="false" outlineLevel="0" collapsed="false">
      <c r="A28" s="4" t="s">
        <v>168</v>
      </c>
      <c r="B28" s="4" t="s">
        <v>162</v>
      </c>
      <c r="C28" s="4" t="s">
        <v>169</v>
      </c>
      <c r="D28" s="31"/>
      <c r="E28" s="31"/>
      <c r="F28" s="31"/>
      <c r="G28" s="31"/>
      <c r="H28" s="31" t="n">
        <v>32</v>
      </c>
      <c r="I28" s="31"/>
      <c r="J28" s="31"/>
      <c r="K28" s="31"/>
      <c r="L28" s="32" t="n">
        <f aca="false">SUM(D28:K28)</f>
        <v>32</v>
      </c>
      <c r="M28" s="22" t="n">
        <f aca="false">ROUND(SUMPRODUCT(D28:K28,$D$4:$K$4),0)</f>
        <v>640</v>
      </c>
      <c r="N28" s="5" t="n">
        <f aca="false">SUMIF('No laborales'!$A$5:$A$12,A28,'No laborales'!$C$5:$C$12)</f>
        <v>0</v>
      </c>
      <c r="O28" s="22" t="n">
        <f aca="false">M28+N28</f>
        <v>640</v>
      </c>
      <c r="P28" s="33"/>
      <c r="Q28" s="33"/>
      <c r="R28" s="22" t="str">
        <f aca="false">IF(P28="","",O28*P28)</f>
        <v/>
      </c>
      <c r="S28" s="22" t="str">
        <f aca="false">IF(Q28="","",O28*Q28)</f>
        <v/>
      </c>
      <c r="T28" s="22" t="str">
        <f aca="false">IF(P28="","",(R28+4*O28+S28)/6)</f>
        <v/>
      </c>
      <c r="U28" s="22" t="str">
        <f aca="false">IF(P28="","",(S28-R28)/6)</f>
        <v/>
      </c>
      <c r="V28" s="34" t="n">
        <f aca="false">IF(P28="",O28,ROUND(T28,0))</f>
        <v>640</v>
      </c>
    </row>
    <row r="29" customFormat="false" ht="15" hidden="false" customHeight="false" outlineLevel="0" collapsed="false">
      <c r="A29" s="4" t="s">
        <v>170</v>
      </c>
      <c r="B29" s="4" t="s">
        <v>171</v>
      </c>
      <c r="C29" s="4" t="s">
        <v>172</v>
      </c>
      <c r="D29" s="31"/>
      <c r="E29" s="31"/>
      <c r="F29" s="31"/>
      <c r="G29" s="31" t="n">
        <v>24</v>
      </c>
      <c r="H29" s="31"/>
      <c r="I29" s="31"/>
      <c r="J29" s="31"/>
      <c r="K29" s="31"/>
      <c r="L29" s="32" t="n">
        <f aca="false">SUM(D29:K29)</f>
        <v>24</v>
      </c>
      <c r="M29" s="22" t="n">
        <f aca="false">ROUND(SUMPRODUCT(D29:K29,$D$4:$K$4),0)</f>
        <v>528</v>
      </c>
      <c r="N29" s="5" t="n">
        <f aca="false">SUMIF('No laborales'!$A$5:$A$12,A29,'No laborales'!$C$5:$C$12)</f>
        <v>0</v>
      </c>
      <c r="O29" s="22" t="n">
        <f aca="false">M29+N29</f>
        <v>528</v>
      </c>
      <c r="P29" s="33"/>
      <c r="Q29" s="33"/>
      <c r="R29" s="22" t="str">
        <f aca="false">IF(P29="","",O29*P29)</f>
        <v/>
      </c>
      <c r="S29" s="22" t="str">
        <f aca="false">IF(Q29="","",O29*Q29)</f>
        <v/>
      </c>
      <c r="T29" s="22" t="str">
        <f aca="false">IF(P29="","",(R29+4*O29+S29)/6)</f>
        <v/>
      </c>
      <c r="U29" s="22" t="str">
        <f aca="false">IF(P29="","",(S29-R29)/6)</f>
        <v/>
      </c>
      <c r="V29" s="34" t="n">
        <f aca="false">IF(P29="",O29,ROUND(T29,0))</f>
        <v>528</v>
      </c>
    </row>
    <row r="30" customFormat="false" ht="15" hidden="false" customHeight="false" outlineLevel="0" collapsed="false">
      <c r="A30" s="4" t="s">
        <v>173</v>
      </c>
      <c r="B30" s="4" t="s">
        <v>171</v>
      </c>
      <c r="C30" s="4" t="s">
        <v>174</v>
      </c>
      <c r="D30" s="31"/>
      <c r="E30" s="31"/>
      <c r="F30" s="31" t="n">
        <v>16</v>
      </c>
      <c r="G30" s="31" t="n">
        <v>40</v>
      </c>
      <c r="H30" s="31"/>
      <c r="I30" s="31"/>
      <c r="J30" s="31"/>
      <c r="K30" s="31"/>
      <c r="L30" s="32" t="n">
        <f aca="false">SUM(D30:K30)</f>
        <v>56</v>
      </c>
      <c r="M30" s="22" t="n">
        <f aca="false">ROUND(SUMPRODUCT(D30:K30,$D$4:$K$4),0)</f>
        <v>1280</v>
      </c>
      <c r="N30" s="5" t="n">
        <f aca="false">SUMIF('No laborales'!$A$5:$A$12,A30,'No laborales'!$C$5:$C$12)</f>
        <v>0</v>
      </c>
      <c r="O30" s="22" t="n">
        <f aca="false">M30+N30</f>
        <v>1280</v>
      </c>
      <c r="P30" s="35" t="n">
        <v>0.85</v>
      </c>
      <c r="Q30" s="35" t="n">
        <v>1.6</v>
      </c>
      <c r="R30" s="22" t="n">
        <f aca="false">IF(P30="","",O30*P30)</f>
        <v>1088</v>
      </c>
      <c r="S30" s="22" t="n">
        <f aca="false">IF(Q30="","",O30*Q30)</f>
        <v>2048</v>
      </c>
      <c r="T30" s="22" t="n">
        <f aca="false">IF(P30="","",(R30+4*O30+S30)/6)</f>
        <v>1376</v>
      </c>
      <c r="U30" s="22" t="n">
        <f aca="false">IF(P30="","",(S30-R30)/6)</f>
        <v>160</v>
      </c>
      <c r="V30" s="34" t="n">
        <f aca="false">IF(P30="",O30,ROUND(T30,0))</f>
        <v>1376</v>
      </c>
    </row>
    <row r="31" customFormat="false" ht="15" hidden="false" customHeight="false" outlineLevel="0" collapsed="false">
      <c r="A31" s="4" t="s">
        <v>175</v>
      </c>
      <c r="B31" s="4" t="s">
        <v>171</v>
      </c>
      <c r="C31" s="4" t="s">
        <v>176</v>
      </c>
      <c r="D31" s="31"/>
      <c r="E31" s="31"/>
      <c r="F31" s="31"/>
      <c r="G31" s="31"/>
      <c r="H31" s="31" t="n">
        <v>40</v>
      </c>
      <c r="I31" s="31"/>
      <c r="J31" s="31"/>
      <c r="K31" s="31"/>
      <c r="L31" s="32" t="n">
        <f aca="false">SUM(D31:K31)</f>
        <v>40</v>
      </c>
      <c r="M31" s="22" t="n">
        <f aca="false">ROUND(SUMPRODUCT(D31:K31,$D$4:$K$4),0)</f>
        <v>800</v>
      </c>
      <c r="N31" s="5" t="n">
        <f aca="false">SUMIF('No laborales'!$A$5:$A$12,A31,'No laborales'!$C$5:$C$12)</f>
        <v>0</v>
      </c>
      <c r="O31" s="22" t="n">
        <f aca="false">M31+N31</f>
        <v>800</v>
      </c>
      <c r="P31" s="33"/>
      <c r="Q31" s="33"/>
      <c r="R31" s="22" t="str">
        <f aca="false">IF(P31="","",O31*P31)</f>
        <v/>
      </c>
      <c r="S31" s="22" t="str">
        <f aca="false">IF(Q31="","",O31*Q31)</f>
        <v/>
      </c>
      <c r="T31" s="22" t="str">
        <f aca="false">IF(P31="","",(R31+4*O31+S31)/6)</f>
        <v/>
      </c>
      <c r="U31" s="22" t="str">
        <f aca="false">IF(P31="","",(S31-R31)/6)</f>
        <v/>
      </c>
      <c r="V31" s="34" t="n">
        <f aca="false">IF(P31="",O31,ROUND(T31,0))</f>
        <v>800</v>
      </c>
    </row>
    <row r="32" customFormat="false" ht="15" hidden="false" customHeight="false" outlineLevel="0" collapsed="false">
      <c r="A32" s="4" t="s">
        <v>177</v>
      </c>
      <c r="B32" s="4" t="s">
        <v>171</v>
      </c>
      <c r="C32" s="4" t="s">
        <v>178</v>
      </c>
      <c r="D32" s="31"/>
      <c r="E32" s="31"/>
      <c r="F32" s="31"/>
      <c r="G32" s="31"/>
      <c r="H32" s="31" t="n">
        <v>24</v>
      </c>
      <c r="I32" s="31"/>
      <c r="J32" s="31"/>
      <c r="K32" s="31"/>
      <c r="L32" s="32" t="n">
        <f aca="false">SUM(D32:K32)</f>
        <v>24</v>
      </c>
      <c r="M32" s="22" t="n">
        <f aca="false">ROUND(SUMPRODUCT(D32:K32,$D$4:$K$4),0)</f>
        <v>480</v>
      </c>
      <c r="N32" s="5" t="n">
        <f aca="false">SUMIF('No laborales'!$A$5:$A$12,A32,'No laborales'!$C$5:$C$12)</f>
        <v>0</v>
      </c>
      <c r="O32" s="22" t="n">
        <f aca="false">M32+N32</f>
        <v>480</v>
      </c>
      <c r="P32" s="33"/>
      <c r="Q32" s="33"/>
      <c r="R32" s="22" t="str">
        <f aca="false">IF(P32="","",O32*P32)</f>
        <v/>
      </c>
      <c r="S32" s="22" t="str">
        <f aca="false">IF(Q32="","",O32*Q32)</f>
        <v/>
      </c>
      <c r="T32" s="22" t="str">
        <f aca="false">IF(P32="","",(R32+4*O32+S32)/6)</f>
        <v/>
      </c>
      <c r="U32" s="22" t="str">
        <f aca="false">IF(P32="","",(S32-R32)/6)</f>
        <v/>
      </c>
      <c r="V32" s="34" t="n">
        <f aca="false">IF(P32="",O32,ROUND(T32,0))</f>
        <v>480</v>
      </c>
    </row>
    <row r="33" customFormat="false" ht="15" hidden="false" customHeight="false" outlineLevel="0" collapsed="false">
      <c r="A33" s="4" t="s">
        <v>179</v>
      </c>
      <c r="B33" s="4" t="s">
        <v>180</v>
      </c>
      <c r="C33" s="4" t="s">
        <v>181</v>
      </c>
      <c r="D33" s="31"/>
      <c r="E33" s="31"/>
      <c r="F33" s="31"/>
      <c r="G33" s="31"/>
      <c r="H33" s="31"/>
      <c r="I33" s="31" t="n">
        <v>32</v>
      </c>
      <c r="J33" s="31"/>
      <c r="K33" s="31"/>
      <c r="L33" s="32" t="n">
        <f aca="false">SUM(D33:K33)</f>
        <v>32</v>
      </c>
      <c r="M33" s="22" t="n">
        <f aca="false">ROUND(SUMPRODUCT(D33:K33,$D$4:$K$4),0)</f>
        <v>512</v>
      </c>
      <c r="N33" s="5" t="n">
        <f aca="false">SUMIF('No laborales'!$A$5:$A$12,A33,'No laborales'!$C$5:$C$12)</f>
        <v>0</v>
      </c>
      <c r="O33" s="22" t="n">
        <f aca="false">M33+N33</f>
        <v>512</v>
      </c>
      <c r="P33" s="33"/>
      <c r="Q33" s="33"/>
      <c r="R33" s="22" t="str">
        <f aca="false">IF(P33="","",O33*P33)</f>
        <v/>
      </c>
      <c r="S33" s="22" t="str">
        <f aca="false">IF(Q33="","",O33*Q33)</f>
        <v/>
      </c>
      <c r="T33" s="22" t="str">
        <f aca="false">IF(P33="","",(R33+4*O33+S33)/6)</f>
        <v/>
      </c>
      <c r="U33" s="22" t="str">
        <f aca="false">IF(P33="","",(S33-R33)/6)</f>
        <v/>
      </c>
      <c r="V33" s="34" t="n">
        <f aca="false">IF(P33="",O33,ROUND(T33,0))</f>
        <v>512</v>
      </c>
    </row>
    <row r="34" customFormat="false" ht="15" hidden="false" customHeight="false" outlineLevel="0" collapsed="false">
      <c r="A34" s="4" t="s">
        <v>182</v>
      </c>
      <c r="B34" s="4" t="s">
        <v>180</v>
      </c>
      <c r="C34" s="4" t="s">
        <v>183</v>
      </c>
      <c r="D34" s="31"/>
      <c r="E34" s="31"/>
      <c r="F34" s="31"/>
      <c r="G34" s="31"/>
      <c r="H34" s="31"/>
      <c r="I34" s="31" t="n">
        <v>56</v>
      </c>
      <c r="J34" s="31"/>
      <c r="K34" s="31"/>
      <c r="L34" s="32" t="n">
        <f aca="false">SUM(D34:K34)</f>
        <v>56</v>
      </c>
      <c r="M34" s="22" t="n">
        <f aca="false">ROUND(SUMPRODUCT(D34:K34,$D$4:$K$4),0)</f>
        <v>896</v>
      </c>
      <c r="N34" s="5" t="n">
        <f aca="false">SUMIF('No laborales'!$A$5:$A$12,A34,'No laborales'!$C$5:$C$12)</f>
        <v>0</v>
      </c>
      <c r="O34" s="22" t="n">
        <f aca="false">M34+N34</f>
        <v>896</v>
      </c>
      <c r="P34" s="33"/>
      <c r="Q34" s="33"/>
      <c r="R34" s="22" t="str">
        <f aca="false">IF(P34="","",O34*P34)</f>
        <v/>
      </c>
      <c r="S34" s="22" t="str">
        <f aca="false">IF(Q34="","",O34*Q34)</f>
        <v/>
      </c>
      <c r="T34" s="22" t="str">
        <f aca="false">IF(P34="","",(R34+4*O34+S34)/6)</f>
        <v/>
      </c>
      <c r="U34" s="22" t="str">
        <f aca="false">IF(P34="","",(S34-R34)/6)</f>
        <v/>
      </c>
      <c r="V34" s="34" t="n">
        <f aca="false">IF(P34="",O34,ROUND(T34,0))</f>
        <v>896</v>
      </c>
    </row>
    <row r="35" customFormat="false" ht="15" hidden="false" customHeight="false" outlineLevel="0" collapsed="false">
      <c r="A35" s="4" t="s">
        <v>184</v>
      </c>
      <c r="B35" s="4" t="s">
        <v>180</v>
      </c>
      <c r="C35" s="4" t="s">
        <v>185</v>
      </c>
      <c r="D35" s="31"/>
      <c r="E35" s="31"/>
      <c r="F35" s="31"/>
      <c r="G35" s="31"/>
      <c r="H35" s="31"/>
      <c r="I35" s="31" t="n">
        <v>32</v>
      </c>
      <c r="J35" s="31"/>
      <c r="K35" s="31"/>
      <c r="L35" s="32" t="n">
        <f aca="false">SUM(D35:K35)</f>
        <v>32</v>
      </c>
      <c r="M35" s="22" t="n">
        <f aca="false">ROUND(SUMPRODUCT(D35:K35,$D$4:$K$4),0)</f>
        <v>512</v>
      </c>
      <c r="N35" s="5" t="n">
        <f aca="false">SUMIF('No laborales'!$A$5:$A$12,A35,'No laborales'!$C$5:$C$12)</f>
        <v>0</v>
      </c>
      <c r="O35" s="22" t="n">
        <f aca="false">M35+N35</f>
        <v>512</v>
      </c>
      <c r="P35" s="33"/>
      <c r="Q35" s="33"/>
      <c r="R35" s="22" t="str">
        <f aca="false">IF(P35="","",O35*P35)</f>
        <v/>
      </c>
      <c r="S35" s="22" t="str">
        <f aca="false">IF(Q35="","",O35*Q35)</f>
        <v/>
      </c>
      <c r="T35" s="22" t="str">
        <f aca="false">IF(P35="","",(R35+4*O35+S35)/6)</f>
        <v/>
      </c>
      <c r="U35" s="22" t="str">
        <f aca="false">IF(P35="","",(S35-R35)/6)</f>
        <v/>
      </c>
      <c r="V35" s="34" t="n">
        <f aca="false">IF(P35="",O35,ROUND(T35,0))</f>
        <v>512</v>
      </c>
    </row>
    <row r="36" customFormat="false" ht="15" hidden="false" customHeight="false" outlineLevel="0" collapsed="false">
      <c r="A36" s="4" t="s">
        <v>186</v>
      </c>
      <c r="B36" s="4" t="s">
        <v>180</v>
      </c>
      <c r="C36" s="4" t="s">
        <v>187</v>
      </c>
      <c r="D36" s="31"/>
      <c r="E36" s="31"/>
      <c r="F36" s="31"/>
      <c r="G36" s="31"/>
      <c r="H36" s="31"/>
      <c r="I36" s="31" t="n">
        <v>24</v>
      </c>
      <c r="J36" s="31" t="n">
        <v>16</v>
      </c>
      <c r="K36" s="31"/>
      <c r="L36" s="32" t="n">
        <f aca="false">SUM(D36:K36)</f>
        <v>40</v>
      </c>
      <c r="M36" s="22" t="n">
        <f aca="false">ROUND(SUMPRODUCT(D36:K36,$D$4:$K$4),0)</f>
        <v>624</v>
      </c>
      <c r="N36" s="5" t="n">
        <f aca="false">SUMIF('No laborales'!$A$5:$A$12,A36,'No laborales'!$C$5:$C$12)</f>
        <v>0</v>
      </c>
      <c r="O36" s="22" t="n">
        <f aca="false">M36+N36</f>
        <v>624</v>
      </c>
      <c r="P36" s="33"/>
      <c r="Q36" s="33"/>
      <c r="R36" s="22" t="str">
        <f aca="false">IF(P36="","",O36*P36)</f>
        <v/>
      </c>
      <c r="S36" s="22" t="str">
        <f aca="false">IF(Q36="","",O36*Q36)</f>
        <v/>
      </c>
      <c r="T36" s="22" t="str">
        <f aca="false">IF(P36="","",(R36+4*O36+S36)/6)</f>
        <v/>
      </c>
      <c r="U36" s="22" t="str">
        <f aca="false">IF(P36="","",(S36-R36)/6)</f>
        <v/>
      </c>
      <c r="V36" s="34" t="n">
        <f aca="false">IF(P36="",O36,ROUND(T36,0))</f>
        <v>624</v>
      </c>
    </row>
    <row r="37" customFormat="false" ht="15" hidden="false" customHeight="false" outlineLevel="0" collapsed="false">
      <c r="A37" s="4" t="s">
        <v>88</v>
      </c>
      <c r="B37" s="4" t="s">
        <v>188</v>
      </c>
      <c r="C37" s="4" t="s">
        <v>189</v>
      </c>
      <c r="D37" s="31"/>
      <c r="E37" s="31"/>
      <c r="F37" s="31"/>
      <c r="G37" s="31" t="n">
        <v>32</v>
      </c>
      <c r="H37" s="31"/>
      <c r="I37" s="31"/>
      <c r="J37" s="31"/>
      <c r="K37" s="31"/>
      <c r="L37" s="32" t="n">
        <f aca="false">SUM(D37:K37)</f>
        <v>32</v>
      </c>
      <c r="M37" s="22" t="n">
        <f aca="false">ROUND(SUMPRODUCT(D37:K37,$D$4:$K$4),0)</f>
        <v>704</v>
      </c>
      <c r="N37" s="5" t="n">
        <f aca="false">SUMIF('No laborales'!$A$5:$A$12,A37,'No laborales'!$C$5:$C$12)</f>
        <v>640</v>
      </c>
      <c r="O37" s="22" t="n">
        <f aca="false">M37+N37</f>
        <v>1344</v>
      </c>
      <c r="P37" s="33"/>
      <c r="Q37" s="33"/>
      <c r="R37" s="22" t="str">
        <f aca="false">IF(P37="","",O37*P37)</f>
        <v/>
      </c>
      <c r="S37" s="22" t="str">
        <f aca="false">IF(Q37="","",O37*Q37)</f>
        <v/>
      </c>
      <c r="T37" s="22" t="str">
        <f aca="false">IF(P37="","",(R37+4*O37+S37)/6)</f>
        <v/>
      </c>
      <c r="U37" s="22" t="str">
        <f aca="false">IF(P37="","",(S37-R37)/6)</f>
        <v/>
      </c>
      <c r="V37" s="34" t="n">
        <f aca="false">IF(P37="",O37,ROUND(T37,0))</f>
        <v>1344</v>
      </c>
    </row>
    <row r="38" customFormat="false" ht="15" hidden="false" customHeight="false" outlineLevel="0" collapsed="false">
      <c r="A38" s="4" t="s">
        <v>91</v>
      </c>
      <c r="B38" s="4" t="s">
        <v>188</v>
      </c>
      <c r="C38" s="4" t="s">
        <v>190</v>
      </c>
      <c r="D38" s="31"/>
      <c r="E38" s="31" t="n">
        <v>32</v>
      </c>
      <c r="F38" s="31"/>
      <c r="G38" s="31"/>
      <c r="H38" s="31"/>
      <c r="I38" s="31"/>
      <c r="J38" s="31"/>
      <c r="K38" s="31"/>
      <c r="L38" s="32" t="n">
        <f aca="false">SUM(D38:K38)</f>
        <v>32</v>
      </c>
      <c r="M38" s="22" t="n">
        <f aca="false">ROUND(SUMPRODUCT(D38:K38,$D$4:$K$4),0)</f>
        <v>640</v>
      </c>
      <c r="N38" s="5" t="n">
        <f aca="false">SUMIF('No laborales'!$A$5:$A$12,A38,'No laborales'!$C$5:$C$12)</f>
        <v>180</v>
      </c>
      <c r="O38" s="22" t="n">
        <f aca="false">M38+N38</f>
        <v>820</v>
      </c>
      <c r="P38" s="33"/>
      <c r="Q38" s="33"/>
      <c r="R38" s="22" t="str">
        <f aca="false">IF(P38="","",O38*P38)</f>
        <v/>
      </c>
      <c r="S38" s="22" t="str">
        <f aca="false">IF(Q38="","",O38*Q38)</f>
        <v/>
      </c>
      <c r="T38" s="22" t="str">
        <f aca="false">IF(P38="","",(R38+4*O38+S38)/6)</f>
        <v/>
      </c>
      <c r="U38" s="22" t="str">
        <f aca="false">IF(P38="","",(S38-R38)/6)</f>
        <v/>
      </c>
      <c r="V38" s="34" t="n">
        <f aca="false">IF(P38="",O38,ROUND(T38,0))</f>
        <v>820</v>
      </c>
    </row>
    <row r="39" customFormat="false" ht="15" hidden="false" customHeight="false" outlineLevel="0" collapsed="false">
      <c r="A39" s="4" t="s">
        <v>93</v>
      </c>
      <c r="B39" s="4" t="s">
        <v>188</v>
      </c>
      <c r="C39" s="4" t="s">
        <v>191</v>
      </c>
      <c r="D39" s="31"/>
      <c r="E39" s="31"/>
      <c r="F39" s="31"/>
      <c r="G39" s="31"/>
      <c r="H39" s="31"/>
      <c r="I39" s="31" t="n">
        <v>32</v>
      </c>
      <c r="J39" s="31" t="n">
        <v>8</v>
      </c>
      <c r="K39" s="31"/>
      <c r="L39" s="32" t="n">
        <f aca="false">SUM(D39:K39)</f>
        <v>40</v>
      </c>
      <c r="M39" s="22" t="n">
        <f aca="false">ROUND(SUMPRODUCT(D39:K39,$D$4:$K$4),0)</f>
        <v>632</v>
      </c>
      <c r="N39" s="5" t="n">
        <f aca="false">SUMIF('No laborales'!$A$5:$A$12,A39,'No laborales'!$C$5:$C$12)</f>
        <v>210</v>
      </c>
      <c r="O39" s="22" t="n">
        <f aca="false">M39+N39</f>
        <v>842</v>
      </c>
      <c r="P39" s="33"/>
      <c r="Q39" s="33"/>
      <c r="R39" s="22" t="str">
        <f aca="false">IF(P39="","",O39*P39)</f>
        <v/>
      </c>
      <c r="S39" s="22" t="str">
        <f aca="false">IF(Q39="","",O39*Q39)</f>
        <v/>
      </c>
      <c r="T39" s="22" t="str">
        <f aca="false">IF(P39="","",(R39+4*O39+S39)/6)</f>
        <v/>
      </c>
      <c r="U39" s="22" t="str">
        <f aca="false">IF(P39="","",(S39-R39)/6)</f>
        <v/>
      </c>
      <c r="V39" s="34" t="n">
        <f aca="false">IF(P39="",O39,ROUND(T39,0))</f>
        <v>842</v>
      </c>
    </row>
    <row r="40" customFormat="false" ht="15" hidden="false" customHeight="false" outlineLevel="0" collapsed="false">
      <c r="A40" s="4" t="s">
        <v>95</v>
      </c>
      <c r="B40" s="4" t="s">
        <v>188</v>
      </c>
      <c r="C40" s="4" t="s">
        <v>192</v>
      </c>
      <c r="D40" s="31" t="n">
        <v>8</v>
      </c>
      <c r="E40" s="31" t="n">
        <v>8</v>
      </c>
      <c r="F40" s="31"/>
      <c r="G40" s="31" t="n">
        <v>64</v>
      </c>
      <c r="H40" s="31" t="n">
        <v>64</v>
      </c>
      <c r="I40" s="31" t="n">
        <v>64</v>
      </c>
      <c r="J40" s="31"/>
      <c r="K40" s="31"/>
      <c r="L40" s="32" t="n">
        <f aca="false">SUM(D40:K40)</f>
        <v>208</v>
      </c>
      <c r="M40" s="22" t="n">
        <f aca="false">ROUND(SUMPRODUCT(D40:K40,$D$4:$K$4),0)</f>
        <v>4112</v>
      </c>
      <c r="N40" s="5" t="n">
        <f aca="false">SUMIF('No laborales'!$A$5:$A$12,A40,'No laborales'!$C$5:$C$12)</f>
        <v>500</v>
      </c>
      <c r="O40" s="22" t="n">
        <f aca="false">M40+N40</f>
        <v>4612</v>
      </c>
      <c r="P40" s="33"/>
      <c r="Q40" s="33"/>
      <c r="R40" s="22" t="str">
        <f aca="false">IF(P40="","",O40*P40)</f>
        <v/>
      </c>
      <c r="S40" s="22" t="str">
        <f aca="false">IF(Q40="","",O40*Q40)</f>
        <v/>
      </c>
      <c r="T40" s="22" t="str">
        <f aca="false">IF(P40="","",(R40+4*O40+S40)/6)</f>
        <v/>
      </c>
      <c r="U40" s="22" t="str">
        <f aca="false">IF(P40="","",(S40-R40)/6)</f>
        <v/>
      </c>
      <c r="V40" s="34" t="n">
        <f aca="false">IF(P40="",O40,ROUND(T40,0))</f>
        <v>4612</v>
      </c>
    </row>
    <row r="41" customFormat="false" ht="15" hidden="false" customHeight="false" outlineLevel="0" collapsed="false">
      <c r="A41" s="4" t="s">
        <v>193</v>
      </c>
      <c r="B41" s="4" t="s">
        <v>188</v>
      </c>
      <c r="C41" s="4" t="s">
        <v>194</v>
      </c>
      <c r="D41" s="31" t="n">
        <v>16</v>
      </c>
      <c r="E41" s="31"/>
      <c r="F41" s="31"/>
      <c r="G41" s="31"/>
      <c r="H41" s="31"/>
      <c r="I41" s="31"/>
      <c r="J41" s="31"/>
      <c r="K41" s="31"/>
      <c r="L41" s="32" t="n">
        <f aca="false">SUM(D41:K41)</f>
        <v>16</v>
      </c>
      <c r="M41" s="22" t="n">
        <f aca="false">ROUND(SUMPRODUCT(D41:K41,$D$4:$K$4),0)</f>
        <v>480</v>
      </c>
      <c r="N41" s="5" t="n">
        <f aca="false">SUMIF('No laborales'!$A$5:$A$12,A41,'No laborales'!$C$5:$C$12)</f>
        <v>0</v>
      </c>
      <c r="O41" s="22" t="n">
        <f aca="false">M41+N41</f>
        <v>480</v>
      </c>
      <c r="P41" s="33"/>
      <c r="Q41" s="33"/>
      <c r="R41" s="22" t="str">
        <f aca="false">IF(P41="","",O41*P41)</f>
        <v/>
      </c>
      <c r="S41" s="22" t="str">
        <f aca="false">IF(Q41="","",O41*Q41)</f>
        <v/>
      </c>
      <c r="T41" s="22" t="str">
        <f aca="false">IF(P41="","",(R41+4*O41+S41)/6)</f>
        <v/>
      </c>
      <c r="U41" s="22" t="str">
        <f aca="false">IF(P41="","",(S41-R41)/6)</f>
        <v/>
      </c>
      <c r="V41" s="34" t="n">
        <f aca="false">IF(P41="",O41,ROUND(T41,0))</f>
        <v>480</v>
      </c>
    </row>
    <row r="42" customFormat="false" ht="15" hidden="false" customHeight="false" outlineLevel="0" collapsed="false">
      <c r="A42" s="24" t="s">
        <v>195</v>
      </c>
      <c r="B42" s="25"/>
      <c r="C42" s="25"/>
      <c r="D42" s="26" t="n">
        <f aca="false">SUM(D6:D41)</f>
        <v>305.6</v>
      </c>
      <c r="E42" s="26" t="n">
        <f aca="false">SUM(E6:E41)</f>
        <v>128</v>
      </c>
      <c r="F42" s="26" t="n">
        <f aca="false">SUM(F6:F41)</f>
        <v>208</v>
      </c>
      <c r="G42" s="26" t="n">
        <f aca="false">SUM(G6:G41)</f>
        <v>344</v>
      </c>
      <c r="H42" s="26" t="n">
        <f aca="false">SUM(H6:H41)</f>
        <v>304</v>
      </c>
      <c r="I42" s="26" t="n">
        <f aca="false">SUM(I6:I41)</f>
        <v>240</v>
      </c>
      <c r="J42" s="26" t="n">
        <f aca="false">SUM(J6:J41)</f>
        <v>32</v>
      </c>
      <c r="K42" s="26" t="n">
        <f aca="false">SUM(K6:K41)</f>
        <v>8</v>
      </c>
      <c r="L42" s="26" t="n">
        <f aca="false">SUM(L6:L41)</f>
        <v>1569.6</v>
      </c>
      <c r="M42" s="27" t="n">
        <f aca="false">SUM(M6:M41)</f>
        <v>35096</v>
      </c>
      <c r="N42" s="27" t="n">
        <f aca="false">SUM(N6:N41)</f>
        <v>2210</v>
      </c>
      <c r="O42" s="27" t="n">
        <f aca="false">SUM(O6:O41)</f>
        <v>37306</v>
      </c>
      <c r="P42" s="25"/>
      <c r="Q42" s="25"/>
      <c r="R42" s="25"/>
      <c r="S42" s="25"/>
      <c r="T42" s="25"/>
      <c r="U42" s="25"/>
      <c r="V42" s="27" t="n">
        <f aca="false">SUM(V6:V41)</f>
        <v>37538</v>
      </c>
    </row>
    <row r="44" customFormat="false" ht="15" hidden="false" customHeight="false" outlineLevel="0" collapsed="false">
      <c r="A44" s="2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13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" t="s">
        <v>197</v>
      </c>
    </row>
    <row r="2" customFormat="false" ht="15" hidden="false" customHeight="false" outlineLevel="0" collapsed="false">
      <c r="A2" s="2" t="s">
        <v>198</v>
      </c>
    </row>
    <row r="4" customFormat="false" ht="31.5" hidden="false" customHeight="true" outlineLevel="0" collapsed="false">
      <c r="A4" s="3" t="s">
        <v>199</v>
      </c>
      <c r="B4" s="3" t="s">
        <v>200</v>
      </c>
      <c r="C4" s="3" t="s">
        <v>201</v>
      </c>
      <c r="D4" s="3" t="s">
        <v>202</v>
      </c>
      <c r="E4" s="3" t="s">
        <v>203</v>
      </c>
    </row>
    <row r="5" customFormat="false" ht="15" hidden="false" customHeight="false" outlineLevel="0" collapsed="false">
      <c r="A5" s="4" t="s">
        <v>204</v>
      </c>
      <c r="B5" s="4" t="s">
        <v>205</v>
      </c>
      <c r="C5" s="36" t="n">
        <v>0.4</v>
      </c>
      <c r="D5" s="19" t="n">
        <v>2000</v>
      </c>
      <c r="E5" s="22" t="n">
        <f aca="false">C5*D5</f>
        <v>800</v>
      </c>
    </row>
    <row r="6" customFormat="false" ht="15" hidden="false" customHeight="false" outlineLevel="0" collapsed="false">
      <c r="A6" s="4" t="s">
        <v>206</v>
      </c>
      <c r="B6" s="4" t="s">
        <v>207</v>
      </c>
      <c r="C6" s="36" t="n">
        <v>0.3</v>
      </c>
      <c r="D6" s="19" t="n">
        <v>2500</v>
      </c>
      <c r="E6" s="22" t="n">
        <f aca="false">C6*D6</f>
        <v>750</v>
      </c>
    </row>
    <row r="7" customFormat="false" ht="15" hidden="false" customHeight="false" outlineLevel="0" collapsed="false">
      <c r="A7" s="4" t="s">
        <v>208</v>
      </c>
      <c r="B7" s="4" t="s">
        <v>209</v>
      </c>
      <c r="C7" s="36" t="n">
        <v>0.25</v>
      </c>
      <c r="D7" s="19" t="n">
        <v>1500</v>
      </c>
      <c r="E7" s="22" t="n">
        <f aca="false">C7*D7</f>
        <v>375</v>
      </c>
    </row>
    <row r="8" customFormat="false" ht="15" hidden="false" customHeight="false" outlineLevel="0" collapsed="false">
      <c r="A8" s="4" t="s">
        <v>210</v>
      </c>
      <c r="B8" s="4" t="s">
        <v>211</v>
      </c>
      <c r="C8" s="36" t="n">
        <v>0.35</v>
      </c>
      <c r="D8" s="19" t="n">
        <v>1200</v>
      </c>
      <c r="E8" s="22" t="n">
        <f aca="false">C8*D8</f>
        <v>420</v>
      </c>
    </row>
    <row r="9" customFormat="false" ht="15" hidden="false" customHeight="false" outlineLevel="0" collapsed="false">
      <c r="A9" s="4" t="s">
        <v>212</v>
      </c>
      <c r="B9" s="4" t="s">
        <v>213</v>
      </c>
      <c r="C9" s="36" t="n">
        <v>0.1</v>
      </c>
      <c r="D9" s="19" t="n">
        <v>1800</v>
      </c>
      <c r="E9" s="22" t="n">
        <f aca="false">C9*D9</f>
        <v>180</v>
      </c>
    </row>
    <row r="10" customFormat="false" ht="15" hidden="false" customHeight="false" outlineLevel="0" collapsed="false">
      <c r="A10" s="24" t="s">
        <v>13</v>
      </c>
      <c r="B10" s="25"/>
      <c r="C10" s="25"/>
      <c r="D10" s="25"/>
      <c r="E10" s="27" t="n">
        <f aca="false">SUM(E5:E9)</f>
        <v>2525</v>
      </c>
    </row>
    <row r="12" customFormat="false" ht="15" hidden="false" customHeight="false" outlineLevel="0" collapsed="false">
      <c r="A12" s="2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215</v>
      </c>
    </row>
    <row r="2" customFormat="false" ht="15" hidden="false" customHeight="false" outlineLevel="0" collapsed="false">
      <c r="A2" s="2" t="s">
        <v>216</v>
      </c>
    </row>
    <row r="4" customFormat="false" ht="31.5" hidden="false" customHeight="true" outlineLevel="0" collapsed="false">
      <c r="A4" s="3" t="s">
        <v>217</v>
      </c>
      <c r="B4" s="3" t="s">
        <v>218</v>
      </c>
      <c r="C4" s="3" t="s">
        <v>219</v>
      </c>
    </row>
    <row r="5" customFormat="false" ht="15" hidden="false" customHeight="false" outlineLevel="0" collapsed="false">
      <c r="A5" s="4" t="s">
        <v>122</v>
      </c>
      <c r="B5" s="5" t="n">
        <f aca="false">SUMIF(Paquetes!$B$6:$B$41,A5,Paquetes!$V$6:$V$41)</f>
        <v>9048</v>
      </c>
      <c r="C5" s="23" t="n">
        <f aca="false">IF($B$13=0,0,B5/$B$13)</f>
        <v>0.241035750439555</v>
      </c>
    </row>
    <row r="6" customFormat="false" ht="15" hidden="false" customHeight="false" outlineLevel="0" collapsed="false">
      <c r="A6" s="4" t="s">
        <v>129</v>
      </c>
      <c r="B6" s="5" t="n">
        <f aca="false">SUMIF(Paquetes!$B$6:$B$41,A6,Paquetes!$V$6:$V$41)</f>
        <v>3304</v>
      </c>
      <c r="C6" s="23" t="n">
        <f aca="false">IF($B$13=0,0,B6/$B$13)</f>
        <v>0.0880174756247003</v>
      </c>
    </row>
    <row r="7" customFormat="false" ht="15" hidden="false" customHeight="false" outlineLevel="0" collapsed="false">
      <c r="A7" s="4" t="s">
        <v>140</v>
      </c>
      <c r="B7" s="5" t="n">
        <f aca="false">SUMIF(Paquetes!$B$6:$B$41,A7,Paquetes!$V$6:$V$41)</f>
        <v>4905</v>
      </c>
      <c r="C7" s="23" t="n">
        <f aca="false">IF($B$13=0,0,B7/$B$13)</f>
        <v>0.130667590175289</v>
      </c>
    </row>
    <row r="8" customFormat="false" ht="15" hidden="false" customHeight="false" outlineLevel="0" collapsed="false">
      <c r="A8" s="4" t="s">
        <v>151</v>
      </c>
      <c r="B8" s="5" t="n">
        <f aca="false">SUMIF(Paquetes!$B$6:$B$41,A8,Paquetes!$V$6:$V$41)</f>
        <v>3575</v>
      </c>
      <c r="C8" s="23" t="n">
        <f aca="false">IF($B$13=0,0,B8/$B$13)</f>
        <v>0.0952368266822953</v>
      </c>
    </row>
    <row r="9" customFormat="false" ht="15" hidden="false" customHeight="false" outlineLevel="0" collapsed="false">
      <c r="A9" s="4" t="s">
        <v>162</v>
      </c>
      <c r="B9" s="5" t="n">
        <f aca="false">SUMIF(Paquetes!$B$6:$B$41,A9,Paquetes!$V$6:$V$41)</f>
        <v>2880</v>
      </c>
      <c r="C9" s="23" t="n">
        <f aca="false">IF($B$13=0,0,B9/$B$13)</f>
        <v>0.0767222547818211</v>
      </c>
    </row>
    <row r="10" customFormat="false" ht="15" hidden="false" customHeight="false" outlineLevel="0" collapsed="false">
      <c r="A10" s="4" t="s">
        <v>171</v>
      </c>
      <c r="B10" s="5" t="n">
        <f aca="false">SUMIF(Paquetes!$B$6:$B$41,A10,Paquetes!$V$6:$V$41)</f>
        <v>3184</v>
      </c>
      <c r="C10" s="23" t="n">
        <f aca="false">IF($B$13=0,0,B10/$B$13)</f>
        <v>0.0848207150087911</v>
      </c>
    </row>
    <row r="11" customFormat="false" ht="15" hidden="false" customHeight="false" outlineLevel="0" collapsed="false">
      <c r="A11" s="4" t="s">
        <v>180</v>
      </c>
      <c r="B11" s="5" t="n">
        <f aca="false">SUMIF(Paquetes!$B$6:$B$41,A11,Paquetes!$V$6:$V$41)</f>
        <v>2544</v>
      </c>
      <c r="C11" s="23" t="n">
        <f aca="false">IF($B$13=0,0,B11/$B$13)</f>
        <v>0.0677713250572753</v>
      </c>
    </row>
    <row r="12" customFormat="false" ht="15" hidden="false" customHeight="false" outlineLevel="0" collapsed="false">
      <c r="A12" s="4" t="s">
        <v>188</v>
      </c>
      <c r="B12" s="5" t="n">
        <f aca="false">SUMIF(Paquetes!$B$6:$B$41,A12,Paquetes!$V$6:$V$41)</f>
        <v>8098</v>
      </c>
      <c r="C12" s="23" t="n">
        <f aca="false">IF($B$13=0,0,B12/$B$13)</f>
        <v>0.215728062230273</v>
      </c>
    </row>
    <row r="13" customFormat="false" ht="15" hidden="false" customHeight="false" outlineLevel="0" collapsed="false">
      <c r="A13" s="24" t="s">
        <v>11</v>
      </c>
      <c r="B13" s="27" t="n">
        <f aca="false">SUM(B5:B12)</f>
        <v>37538</v>
      </c>
      <c r="C13" s="28" t="n">
        <f aca="false">SUM(C5:C12)</f>
        <v>1</v>
      </c>
    </row>
    <row r="14" customFormat="false" ht="15" hidden="false" customHeight="false" outlineLevel="0" collapsed="false">
      <c r="A14" s="4" t="s">
        <v>220</v>
      </c>
      <c r="B14" s="5" t="n">
        <f aca="false">Riesgos!E10</f>
        <v>2525</v>
      </c>
      <c r="C14" s="4"/>
    </row>
    <row r="15" customFormat="false" ht="15" hidden="false" customHeight="false" outlineLevel="0" collapsed="false">
      <c r="A15" s="6" t="s">
        <v>15</v>
      </c>
      <c r="B15" s="37" t="n">
        <f aca="false">B13+B14</f>
        <v>40063</v>
      </c>
      <c r="C15" s="8"/>
    </row>
    <row r="16" customFormat="false" ht="15" hidden="false" customHeight="false" outlineLevel="0" collapsed="false">
      <c r="A16" s="4" t="s">
        <v>221</v>
      </c>
      <c r="B16" s="38" t="n">
        <v>0.05</v>
      </c>
      <c r="C16" s="4"/>
    </row>
    <row r="17" customFormat="false" ht="15" hidden="false" customHeight="false" outlineLevel="0" collapsed="false">
      <c r="A17" s="4" t="s">
        <v>222</v>
      </c>
      <c r="B17" s="22" t="n">
        <f aca="false">ROUND(B15*B16,0)</f>
        <v>2003</v>
      </c>
      <c r="C17" s="4"/>
    </row>
    <row r="18" customFormat="false" ht="15" hidden="false" customHeight="false" outlineLevel="0" collapsed="false">
      <c r="A18" s="9" t="s">
        <v>19</v>
      </c>
      <c r="B18" s="10" t="n">
        <f aca="false">B15+B17</f>
        <v>42066</v>
      </c>
      <c r="C18" s="39"/>
    </row>
    <row r="20" customFormat="false" ht="15" hidden="false" customHeight="false" outlineLevel="0" collapsed="false">
      <c r="A20" s="4" t="s">
        <v>21</v>
      </c>
      <c r="B20" s="40" t="n">
        <v>42200</v>
      </c>
      <c r="C20" s="4"/>
    </row>
    <row r="21" customFormat="false" ht="15" hidden="false" customHeight="false" outlineLevel="0" collapsed="false">
      <c r="A21" s="4" t="s">
        <v>223</v>
      </c>
      <c r="B21" s="22" t="n">
        <f aca="false">B20-B18</f>
        <v>134</v>
      </c>
      <c r="C21" s="4" t="str">
        <f aca="false">IF(B21&gt;=0,"Dentro de lo autorizado","Excede lo autorizado")</f>
        <v>Dentro de lo autorizado</v>
      </c>
    </row>
    <row r="22" customFormat="false" ht="15" hidden="false" customHeight="false" outlineLevel="0" collapsed="false">
      <c r="A22" s="4" t="s">
        <v>224</v>
      </c>
      <c r="B22" s="22" t="n">
        <f aca="false">B20*1.1</f>
        <v>46420</v>
      </c>
      <c r="C2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225</v>
      </c>
    </row>
    <row r="2" customFormat="false" ht="15" hidden="false" customHeight="false" outlineLevel="0" collapsed="false">
      <c r="A2" s="2" t="s">
        <v>226</v>
      </c>
    </row>
    <row r="4" customFormat="false" ht="31.5" hidden="false" customHeight="true" outlineLevel="0" collapsed="false">
      <c r="A4" s="3" t="s">
        <v>227</v>
      </c>
      <c r="B4" s="3" t="s">
        <v>228</v>
      </c>
      <c r="C4" s="3" t="s">
        <v>229</v>
      </c>
      <c r="D4" s="3" t="s">
        <v>230</v>
      </c>
      <c r="E4" s="3" t="s">
        <v>231</v>
      </c>
      <c r="F4" s="3" t="s">
        <v>232</v>
      </c>
    </row>
    <row r="5" customFormat="false" ht="15" hidden="false" customHeight="false" outlineLevel="0" collapsed="false">
      <c r="A5" s="41" t="n">
        <v>1</v>
      </c>
      <c r="B5" s="42" t="n">
        <v>46283</v>
      </c>
      <c r="C5" s="19" t="n">
        <v>1120</v>
      </c>
      <c r="D5" s="22" t="n">
        <f aca="false">C5</f>
        <v>1120</v>
      </c>
      <c r="E5" s="5" t="n">
        <f aca="false">Presupuesto!$B$15</f>
        <v>40063</v>
      </c>
      <c r="F5" s="5" t="n">
        <f aca="false">Presupuesto!$B$18</f>
        <v>42066</v>
      </c>
    </row>
    <row r="6" customFormat="false" ht="15" hidden="false" customHeight="false" outlineLevel="0" collapsed="false">
      <c r="A6" s="41" t="n">
        <v>2</v>
      </c>
      <c r="B6" s="42" t="n">
        <v>46290</v>
      </c>
      <c r="C6" s="19" t="n">
        <v>880</v>
      </c>
      <c r="D6" s="22" t="n">
        <f aca="false">D5+C6</f>
        <v>2000</v>
      </c>
      <c r="E6" s="5" t="n">
        <f aca="false">Presupuesto!$B$15</f>
        <v>40063</v>
      </c>
      <c r="F6" s="5" t="n">
        <f aca="false">Presupuesto!$B$18</f>
        <v>42066</v>
      </c>
    </row>
    <row r="7" customFormat="false" ht="15" hidden="false" customHeight="false" outlineLevel="0" collapsed="false">
      <c r="A7" s="41" t="n">
        <v>3</v>
      </c>
      <c r="B7" s="42" t="n">
        <v>46297</v>
      </c>
      <c r="C7" s="19" t="n">
        <v>2912</v>
      </c>
      <c r="D7" s="22" t="n">
        <f aca="false">D6+C7</f>
        <v>4912</v>
      </c>
      <c r="E7" s="5" t="n">
        <f aca="false">Presupuesto!$B$15</f>
        <v>40063</v>
      </c>
      <c r="F7" s="5" t="n">
        <f aca="false">Presupuesto!$B$18</f>
        <v>42066</v>
      </c>
    </row>
    <row r="8" customFormat="false" ht="15" hidden="false" customHeight="false" outlineLevel="0" collapsed="false">
      <c r="A8" s="41" t="n">
        <v>4</v>
      </c>
      <c r="B8" s="42" t="n">
        <v>46304</v>
      </c>
      <c r="C8" s="19" t="n">
        <v>2024</v>
      </c>
      <c r="D8" s="22" t="n">
        <f aca="false">D7+C8</f>
        <v>6936</v>
      </c>
      <c r="E8" s="5" t="n">
        <f aca="false">Presupuesto!$B$15</f>
        <v>40063</v>
      </c>
      <c r="F8" s="5" t="n">
        <f aca="false">Presupuesto!$B$18</f>
        <v>42066</v>
      </c>
    </row>
    <row r="9" customFormat="false" ht="15" hidden="false" customHeight="false" outlineLevel="0" collapsed="false">
      <c r="A9" s="41" t="n">
        <v>5</v>
      </c>
      <c r="B9" s="42" t="n">
        <v>46311</v>
      </c>
      <c r="C9" s="19" t="n">
        <v>2861</v>
      </c>
      <c r="D9" s="22" t="n">
        <f aca="false">D8+C9</f>
        <v>9797</v>
      </c>
      <c r="E9" s="5" t="n">
        <f aca="false">Presupuesto!$B$15</f>
        <v>40063</v>
      </c>
      <c r="F9" s="5" t="n">
        <f aca="false">Presupuesto!$B$18</f>
        <v>42066</v>
      </c>
    </row>
    <row r="10" customFormat="false" ht="15" hidden="false" customHeight="false" outlineLevel="0" collapsed="false">
      <c r="A10" s="41" t="n">
        <v>6</v>
      </c>
      <c r="B10" s="42" t="n">
        <v>46318</v>
      </c>
      <c r="C10" s="19" t="n">
        <v>2385</v>
      </c>
      <c r="D10" s="22" t="n">
        <f aca="false">D9+C10</f>
        <v>12182</v>
      </c>
      <c r="E10" s="5" t="n">
        <f aca="false">Presupuesto!$B$15</f>
        <v>40063</v>
      </c>
      <c r="F10" s="5" t="n">
        <f aca="false">Presupuesto!$B$18</f>
        <v>42066</v>
      </c>
    </row>
    <row r="11" customFormat="false" ht="15" hidden="false" customHeight="false" outlineLevel="0" collapsed="false">
      <c r="A11" s="41" t="n">
        <v>7</v>
      </c>
      <c r="B11" s="42" t="n">
        <v>46325</v>
      </c>
      <c r="C11" s="19" t="n">
        <v>3299</v>
      </c>
      <c r="D11" s="22" t="n">
        <f aca="false">D10+C11</f>
        <v>15481</v>
      </c>
      <c r="E11" s="5" t="n">
        <f aca="false">Presupuesto!$B$15</f>
        <v>40063</v>
      </c>
      <c r="F11" s="5" t="n">
        <f aca="false">Presupuesto!$B$18</f>
        <v>42066</v>
      </c>
    </row>
    <row r="12" customFormat="false" ht="15" hidden="false" customHeight="false" outlineLevel="0" collapsed="false">
      <c r="A12" s="41" t="n">
        <v>8</v>
      </c>
      <c r="B12" s="42" t="n">
        <v>46332</v>
      </c>
      <c r="C12" s="19" t="n">
        <v>2495</v>
      </c>
      <c r="D12" s="22" t="n">
        <f aca="false">D11+C12</f>
        <v>17976</v>
      </c>
      <c r="E12" s="5" t="n">
        <f aca="false">Presupuesto!$B$15</f>
        <v>40063</v>
      </c>
      <c r="F12" s="5" t="n">
        <f aca="false">Presupuesto!$B$18</f>
        <v>42066</v>
      </c>
    </row>
    <row r="13" customFormat="false" ht="15" hidden="false" customHeight="false" outlineLevel="0" collapsed="false">
      <c r="A13" s="41" t="n">
        <v>9</v>
      </c>
      <c r="B13" s="42" t="n">
        <v>46339</v>
      </c>
      <c r="C13" s="19" t="n">
        <v>2373</v>
      </c>
      <c r="D13" s="22" t="n">
        <f aca="false">D12+C13</f>
        <v>20349</v>
      </c>
      <c r="E13" s="5" t="n">
        <f aca="false">Presupuesto!$B$15</f>
        <v>40063</v>
      </c>
      <c r="F13" s="5" t="n">
        <f aca="false">Presupuesto!$B$18</f>
        <v>42066</v>
      </c>
    </row>
    <row r="14" customFormat="false" ht="15" hidden="false" customHeight="false" outlineLevel="0" collapsed="false">
      <c r="A14" s="41" t="n">
        <v>10</v>
      </c>
      <c r="B14" s="42" t="n">
        <v>46346</v>
      </c>
      <c r="C14" s="19" t="n">
        <v>2275</v>
      </c>
      <c r="D14" s="22" t="n">
        <f aca="false">D13+C14</f>
        <v>22624</v>
      </c>
      <c r="E14" s="5" t="n">
        <f aca="false">Presupuesto!$B$15</f>
        <v>40063</v>
      </c>
      <c r="F14" s="5" t="n">
        <f aca="false">Presupuesto!$B$18</f>
        <v>42066</v>
      </c>
    </row>
    <row r="15" customFormat="false" ht="15" hidden="false" customHeight="false" outlineLevel="0" collapsed="false">
      <c r="A15" s="41" t="n">
        <v>11</v>
      </c>
      <c r="B15" s="42" t="n">
        <v>46353</v>
      </c>
      <c r="C15" s="19" t="n">
        <v>1408</v>
      </c>
      <c r="D15" s="22" t="n">
        <f aca="false">D14+C15</f>
        <v>24032</v>
      </c>
      <c r="E15" s="5" t="n">
        <f aca="false">Presupuesto!$B$15</f>
        <v>40063</v>
      </c>
      <c r="F15" s="5" t="n">
        <f aca="false">Presupuesto!$B$18</f>
        <v>42066</v>
      </c>
    </row>
    <row r="16" customFormat="false" ht="15" hidden="false" customHeight="false" outlineLevel="0" collapsed="false">
      <c r="A16" s="41" t="n">
        <v>12</v>
      </c>
      <c r="B16" s="42" t="n">
        <v>46360</v>
      </c>
      <c r="C16" s="19" t="n">
        <v>1664</v>
      </c>
      <c r="D16" s="22" t="n">
        <f aca="false">D15+C16</f>
        <v>25696</v>
      </c>
      <c r="E16" s="5" t="n">
        <f aca="false">Presupuesto!$B$15</f>
        <v>40063</v>
      </c>
      <c r="F16" s="5" t="n">
        <f aca="false">Presupuesto!$B$18</f>
        <v>42066</v>
      </c>
    </row>
    <row r="17" customFormat="false" ht="15" hidden="false" customHeight="false" outlineLevel="0" collapsed="false">
      <c r="A17" s="41" t="n">
        <v>13</v>
      </c>
      <c r="B17" s="42" t="n">
        <v>46367</v>
      </c>
      <c r="C17" s="19" t="n">
        <v>1012</v>
      </c>
      <c r="D17" s="22" t="n">
        <f aca="false">D16+C17</f>
        <v>26708</v>
      </c>
      <c r="E17" s="5" t="n">
        <f aca="false">Presupuesto!$B$15</f>
        <v>40063</v>
      </c>
      <c r="F17" s="5" t="n">
        <f aca="false">Presupuesto!$B$18</f>
        <v>42066</v>
      </c>
    </row>
    <row r="18" customFormat="false" ht="15" hidden="false" customHeight="false" outlineLevel="0" collapsed="false">
      <c r="A18" s="41" t="n">
        <v>14</v>
      </c>
      <c r="B18" s="42" t="n">
        <v>46374</v>
      </c>
      <c r="C18" s="19" t="n">
        <v>2696</v>
      </c>
      <c r="D18" s="22" t="n">
        <f aca="false">D17+C18</f>
        <v>29404</v>
      </c>
      <c r="E18" s="5" t="n">
        <f aca="false">Presupuesto!$B$15</f>
        <v>40063</v>
      </c>
      <c r="F18" s="5" t="n">
        <f aca="false">Presupuesto!$B$18</f>
        <v>42066</v>
      </c>
    </row>
    <row r="19" customFormat="false" ht="15" hidden="false" customHeight="false" outlineLevel="0" collapsed="false">
      <c r="A19" s="41" t="n">
        <v>15</v>
      </c>
      <c r="B19" s="42" t="n">
        <v>46381</v>
      </c>
      <c r="C19" s="19" t="n">
        <v>1218</v>
      </c>
      <c r="D19" s="22" t="n">
        <f aca="false">D18+C19</f>
        <v>30622</v>
      </c>
      <c r="E19" s="5" t="n">
        <f aca="false">Presupuesto!$B$15</f>
        <v>40063</v>
      </c>
      <c r="F19" s="5" t="n">
        <f aca="false">Presupuesto!$B$18</f>
        <v>42066</v>
      </c>
    </row>
    <row r="20" customFormat="false" ht="15" hidden="false" customHeight="false" outlineLevel="0" collapsed="false">
      <c r="A20" s="41" t="n">
        <v>16</v>
      </c>
      <c r="B20" s="42" t="n">
        <v>46388</v>
      </c>
      <c r="C20" s="19" t="n">
        <v>2240</v>
      </c>
      <c r="D20" s="22" t="n">
        <f aca="false">D19+C20</f>
        <v>32862</v>
      </c>
      <c r="E20" s="5" t="n">
        <f aca="false">Presupuesto!$B$15</f>
        <v>40063</v>
      </c>
      <c r="F20" s="5" t="n">
        <f aca="false">Presupuesto!$B$18</f>
        <v>42066</v>
      </c>
    </row>
    <row r="21" customFormat="false" ht="15" hidden="false" customHeight="false" outlineLevel="0" collapsed="false">
      <c r="A21" s="41" t="n">
        <v>17</v>
      </c>
      <c r="B21" s="42" t="n">
        <v>46395</v>
      </c>
      <c r="C21" s="19" t="n">
        <v>3476</v>
      </c>
      <c r="D21" s="22" t="n">
        <f aca="false">D20+C21</f>
        <v>36338</v>
      </c>
      <c r="E21" s="5" t="n">
        <f aca="false">Presupuesto!$B$15</f>
        <v>40063</v>
      </c>
      <c r="F21" s="5" t="n">
        <f aca="false">Presupuesto!$B$18</f>
        <v>42066</v>
      </c>
    </row>
    <row r="22" customFormat="false" ht="15" hidden="false" customHeight="false" outlineLevel="0" collapsed="false">
      <c r="A22" s="41" t="n">
        <v>18</v>
      </c>
      <c r="B22" s="42" t="n">
        <v>46402</v>
      </c>
      <c r="C22" s="19" t="n">
        <v>1200</v>
      </c>
      <c r="D22" s="22" t="n">
        <f aca="false">D21+C22</f>
        <v>37538</v>
      </c>
      <c r="E22" s="5" t="n">
        <f aca="false">Presupuesto!$B$15</f>
        <v>40063</v>
      </c>
      <c r="F22" s="5" t="n">
        <f aca="false">Presupuesto!$B$18</f>
        <v>42066</v>
      </c>
    </row>
    <row r="23" customFormat="false" ht="15" hidden="false" customHeight="false" outlineLevel="0" collapsed="false">
      <c r="A23" s="24" t="s">
        <v>77</v>
      </c>
      <c r="B23" s="25"/>
      <c r="C23" s="27" t="n">
        <f aca="false">SUM(C5:C22)</f>
        <v>37538</v>
      </c>
      <c r="D23" s="24" t="str">
        <f aca="false">IF(ROUND(C23-Paquetes!V42,0)=0,"Cuadra con paquetes","Revisar")</f>
        <v>Cuadra con paquetes</v>
      </c>
      <c r="E23" s="25"/>
      <c r="F23" s="25"/>
    </row>
    <row r="25" customFormat="false" ht="15" hidden="false" customHeight="false" outlineLevel="0" collapsed="false">
      <c r="A25" s="2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234</v>
      </c>
    </row>
    <row r="2" customFormat="false" ht="15" hidden="false" customHeight="false" outlineLevel="0" collapsed="false">
      <c r="A2" s="2" t="s">
        <v>235</v>
      </c>
    </row>
    <row r="4" customFormat="false" ht="31.5" hidden="false" customHeight="true" outlineLevel="0" collapsed="false">
      <c r="A4" s="3" t="s">
        <v>236</v>
      </c>
      <c r="B4" s="3" t="s">
        <v>237</v>
      </c>
      <c r="C4" s="3" t="s">
        <v>238</v>
      </c>
    </row>
    <row r="5" customFormat="false" ht="15" hidden="false" customHeight="false" outlineLevel="0" collapsed="false">
      <c r="A5" s="4" t="s">
        <v>239</v>
      </c>
      <c r="B5" s="43" t="n">
        <v>46332</v>
      </c>
      <c r="C5" s="4" t="s">
        <v>240</v>
      </c>
    </row>
    <row r="6" customFormat="false" ht="15" hidden="false" customHeight="false" outlineLevel="0" collapsed="false">
      <c r="A6" s="17" t="s">
        <v>241</v>
      </c>
      <c r="B6" s="5" t="n">
        <f aca="false">Presupuesto!B15</f>
        <v>40063</v>
      </c>
      <c r="C6" s="4" t="s">
        <v>242</v>
      </c>
    </row>
    <row r="7" customFormat="false" ht="15" hidden="false" customHeight="false" outlineLevel="0" collapsed="false">
      <c r="A7" s="17" t="s">
        <v>243</v>
      </c>
      <c r="B7" s="5" t="n">
        <f aca="false">INDEX('Curva S'!D5:D22,MATCH(B5,'Curva S'!B5:B22,0))</f>
        <v>17976</v>
      </c>
      <c r="C7" s="4" t="s">
        <v>244</v>
      </c>
    </row>
    <row r="8" customFormat="false" ht="15" hidden="false" customHeight="false" outlineLevel="0" collapsed="false">
      <c r="A8" s="4" t="s">
        <v>245</v>
      </c>
      <c r="B8" s="38" t="n">
        <v>0.94</v>
      </c>
      <c r="C8" s="4" t="s">
        <v>246</v>
      </c>
    </row>
    <row r="9" customFormat="false" ht="15" hidden="false" customHeight="false" outlineLevel="0" collapsed="false">
      <c r="A9" s="17" t="s">
        <v>247</v>
      </c>
      <c r="B9" s="22" t="n">
        <f aca="false">ROUND(B7*B8,0)</f>
        <v>16897</v>
      </c>
      <c r="C9" s="4" t="s">
        <v>248</v>
      </c>
    </row>
    <row r="10" customFormat="false" ht="15" hidden="false" customHeight="false" outlineLevel="0" collapsed="false">
      <c r="A10" s="4" t="s">
        <v>249</v>
      </c>
      <c r="B10" s="35" t="n">
        <v>1.06</v>
      </c>
      <c r="C10" s="4" t="s">
        <v>250</v>
      </c>
    </row>
    <row r="11" customFormat="false" ht="15" hidden="false" customHeight="false" outlineLevel="0" collapsed="false">
      <c r="A11" s="17" t="s">
        <v>251</v>
      </c>
      <c r="B11" s="22" t="n">
        <f aca="false">ROUND(B9*B10,0)</f>
        <v>17911</v>
      </c>
      <c r="C11" s="4" t="s">
        <v>252</v>
      </c>
    </row>
    <row r="12" customFormat="false" ht="15" hidden="false" customHeight="false" outlineLevel="0" collapsed="false">
      <c r="A12" s="4" t="s">
        <v>253</v>
      </c>
      <c r="B12" s="22" t="n">
        <f aca="false">B9-B11</f>
        <v>-1014</v>
      </c>
      <c r="C12" s="4" t="s">
        <v>254</v>
      </c>
    </row>
    <row r="13" customFormat="false" ht="15" hidden="false" customHeight="false" outlineLevel="0" collapsed="false">
      <c r="A13" s="4" t="s">
        <v>255</v>
      </c>
      <c r="B13" s="22" t="n">
        <f aca="false">B9-B7</f>
        <v>-1079</v>
      </c>
      <c r="C13" s="4" t="s">
        <v>256</v>
      </c>
    </row>
    <row r="14" customFormat="false" ht="15" hidden="false" customHeight="false" outlineLevel="0" collapsed="false">
      <c r="A14" s="4" t="s">
        <v>257</v>
      </c>
      <c r="B14" s="44" t="n">
        <f aca="false">B9/B11</f>
        <v>0.943386745575345</v>
      </c>
      <c r="C14" s="4" t="s">
        <v>258</v>
      </c>
    </row>
    <row r="15" customFormat="false" ht="15" hidden="false" customHeight="false" outlineLevel="0" collapsed="false">
      <c r="A15" s="4" t="s">
        <v>259</v>
      </c>
      <c r="B15" s="44" t="n">
        <f aca="false">B9/B7</f>
        <v>0.939975522919448</v>
      </c>
      <c r="C15" s="4" t="s">
        <v>260</v>
      </c>
    </row>
    <row r="16" customFormat="false" ht="15" hidden="false" customHeight="false" outlineLevel="0" collapsed="false">
      <c r="A16" s="4" t="s">
        <v>261</v>
      </c>
      <c r="B16" s="22" t="n">
        <f aca="false">B6/B14</f>
        <v>42467.206782269</v>
      </c>
      <c r="C16" s="4" t="s">
        <v>262</v>
      </c>
    </row>
    <row r="17" customFormat="false" ht="15" hidden="false" customHeight="false" outlineLevel="0" collapsed="false">
      <c r="A17" s="4" t="s">
        <v>263</v>
      </c>
      <c r="B17" s="22" t="n">
        <f aca="false">B11+(B6-B9)</f>
        <v>41077</v>
      </c>
      <c r="C17" s="4" t="s">
        <v>264</v>
      </c>
    </row>
    <row r="18" customFormat="false" ht="15" hidden="false" customHeight="false" outlineLevel="0" collapsed="false">
      <c r="A18" s="4" t="s">
        <v>265</v>
      </c>
      <c r="B18" s="22" t="n">
        <f aca="false">B11+(B6-B9)/(B14*B15)</f>
        <v>44035.3044989092</v>
      </c>
      <c r="C18" s="4" t="s">
        <v>266</v>
      </c>
    </row>
    <row r="19" customFormat="false" ht="15" hidden="false" customHeight="false" outlineLevel="0" collapsed="false">
      <c r="A19" s="4" t="s">
        <v>267</v>
      </c>
      <c r="B19" s="22" t="n">
        <f aca="false">B16-B11</f>
        <v>24556.206782269</v>
      </c>
      <c r="C19" s="4" t="s">
        <v>268</v>
      </c>
    </row>
    <row r="20" customFormat="false" ht="15" hidden="false" customHeight="false" outlineLevel="0" collapsed="false">
      <c r="A20" s="4" t="s">
        <v>269</v>
      </c>
      <c r="B20" s="22" t="n">
        <f aca="false">B6-B16</f>
        <v>-2404.20678226904</v>
      </c>
      <c r="C20" s="4" t="s">
        <v>270</v>
      </c>
    </row>
    <row r="21" customFormat="false" ht="15" hidden="false" customHeight="false" outlineLevel="0" collapsed="false">
      <c r="A21" s="4" t="s">
        <v>271</v>
      </c>
      <c r="B21" s="44" t="n">
        <f aca="false">(B6-B9)/(B6-B11)</f>
        <v>1.04577464788732</v>
      </c>
      <c r="C21" s="4" t="s">
        <v>272</v>
      </c>
    </row>
    <row r="23" customFormat="false" ht="15" hidden="false" customHeight="false" outlineLevel="0" collapsed="false">
      <c r="A23" s="11" t="s">
        <v>273</v>
      </c>
      <c r="B23" s="13" t="str">
        <f aca="false">IF(B14&lt;1,"Sobrecosto: ","Dentro del costo: ")&amp;"CPI "&amp;TEXT(B14,"0.00")&amp;" · "&amp;IF(B15&lt;1,"Atraso: ","A tiempo: ")&amp;"SPI "&amp;TEXT(B15,"0.00")</f>
        <v>Sobrecosto: CPI 0.94 · Atraso: SPI 0.94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274</v>
      </c>
    </row>
    <row r="2" customFormat="false" ht="15" hidden="false" customHeight="false" outlineLevel="0" collapsed="false">
      <c r="A2" s="2" t="s">
        <v>275</v>
      </c>
    </row>
    <row r="4" customFormat="false" ht="31.5" hidden="false" customHeight="true" outlineLevel="0" collapsed="false">
      <c r="A4" s="3" t="s">
        <v>2</v>
      </c>
      <c r="B4" s="3" t="s">
        <v>237</v>
      </c>
      <c r="C4" s="3" t="s">
        <v>276</v>
      </c>
    </row>
    <row r="5" customFormat="false" ht="15" hidden="false" customHeight="false" outlineLevel="0" collapsed="false">
      <c r="A5" s="4" t="s">
        <v>277</v>
      </c>
      <c r="B5" s="45" t="n">
        <v>216</v>
      </c>
      <c r="C5" s="46" t="s">
        <v>278</v>
      </c>
    </row>
    <row r="6" customFormat="false" ht="15" hidden="false" customHeight="false" outlineLevel="0" collapsed="false">
      <c r="A6" s="4" t="s">
        <v>279</v>
      </c>
      <c r="B6" s="38" t="n">
        <v>0.15</v>
      </c>
      <c r="C6" s="46" t="s">
        <v>280</v>
      </c>
    </row>
    <row r="7" customFormat="false" ht="15" hidden="false" customHeight="false" outlineLevel="0" collapsed="false">
      <c r="A7" s="4" t="s">
        <v>281</v>
      </c>
      <c r="B7" s="47" t="n">
        <f aca="false">ROUND(B5*B6,0)</f>
        <v>32</v>
      </c>
      <c r="C7" s="46" t="s">
        <v>282</v>
      </c>
    </row>
    <row r="8" customFormat="false" ht="15" hidden="false" customHeight="false" outlineLevel="0" collapsed="false">
      <c r="A8" s="4" t="s">
        <v>283</v>
      </c>
      <c r="B8" s="40" t="n">
        <v>750</v>
      </c>
      <c r="C8" s="46" t="s">
        <v>284</v>
      </c>
    </row>
    <row r="9" customFormat="false" ht="15" hidden="false" customHeight="false" outlineLevel="0" collapsed="false">
      <c r="A9" s="4" t="s">
        <v>285</v>
      </c>
      <c r="B9" s="22" t="n">
        <f aca="false">B7*B8</f>
        <v>24000</v>
      </c>
      <c r="C9" s="46" t="s">
        <v>286</v>
      </c>
    </row>
    <row r="10" customFormat="false" ht="15" hidden="false" customHeight="false" outlineLevel="0" collapsed="false">
      <c r="A10" s="4" t="s">
        <v>287</v>
      </c>
      <c r="B10" s="40" t="n">
        <v>3600</v>
      </c>
      <c r="C10" s="46" t="s">
        <v>288</v>
      </c>
    </row>
    <row r="11" customFormat="false" ht="15" hidden="false" customHeight="false" outlineLevel="0" collapsed="false">
      <c r="A11" s="4" t="s">
        <v>289</v>
      </c>
      <c r="B11" s="22" t="n">
        <f aca="false">B9-B10</f>
        <v>20400</v>
      </c>
      <c r="C11" s="46" t="s">
        <v>290</v>
      </c>
    </row>
    <row r="12" customFormat="false" ht="15" hidden="false" customHeight="false" outlineLevel="0" collapsed="false">
      <c r="A12" s="4" t="s">
        <v>291</v>
      </c>
      <c r="B12" s="38" t="n">
        <v>0.1</v>
      </c>
      <c r="C12" s="46" t="s">
        <v>292</v>
      </c>
    </row>
    <row r="13" customFormat="false" ht="15" hidden="false" customHeight="false" outlineLevel="0" collapsed="false">
      <c r="A13" s="4" t="s">
        <v>293</v>
      </c>
      <c r="B13" s="5" t="n">
        <f aca="false">Presupuesto!B18</f>
        <v>42066</v>
      </c>
      <c r="C13" s="46" t="s">
        <v>215</v>
      </c>
    </row>
    <row r="14" customFormat="false" ht="15" hidden="false" customHeight="false" outlineLevel="0" collapsed="false">
      <c r="A14" s="4" t="s">
        <v>294</v>
      </c>
      <c r="B14" s="22" t="n">
        <f aca="false">-B13+NPV(B12,B11,B11,B11)</f>
        <v>8665.78061607813</v>
      </c>
      <c r="C14" s="46" t="s">
        <v>295</v>
      </c>
    </row>
    <row r="15" customFormat="false" ht="15" hidden="false" customHeight="false" outlineLevel="0" collapsed="false">
      <c r="A15" s="4" t="s">
        <v>296</v>
      </c>
      <c r="B15" s="22" t="n">
        <f aca="false">-B13+NPV(B12,B11,B11,B11,B11,B11)</f>
        <v>35266.0500959323</v>
      </c>
      <c r="C15" s="46" t="s">
        <v>297</v>
      </c>
    </row>
    <row r="16" customFormat="false" ht="15" hidden="false" customHeight="false" outlineLevel="0" collapsed="false">
      <c r="A16" s="4" t="s">
        <v>298</v>
      </c>
      <c r="B16" s="23" t="n">
        <f aca="false">(B11*5-B13)/B13</f>
        <v>1.42476108971616</v>
      </c>
      <c r="C16" s="46" t="s">
        <v>299</v>
      </c>
    </row>
    <row r="17" customFormat="false" ht="15" hidden="false" customHeight="false" outlineLevel="0" collapsed="false">
      <c r="A17" s="4" t="s">
        <v>300</v>
      </c>
      <c r="B17" s="48" t="n">
        <f aca="false">B13/B11</f>
        <v>2.06205882352941</v>
      </c>
      <c r="C17" s="46" t="s">
        <v>301</v>
      </c>
    </row>
    <row r="18" customFormat="false" ht="23.85" hidden="false" customHeight="false" outlineLevel="0" collapsed="false">
      <c r="A18" s="4" t="s">
        <v>302</v>
      </c>
      <c r="B18" s="5" t="n">
        <f aca="false">'No laborales'!C13+Presupuesto!B14+Presupuesto!B17</f>
        <v>6738</v>
      </c>
      <c r="C18" s="46" t="s">
        <v>303</v>
      </c>
    </row>
    <row r="19" customFormat="false" ht="15" hidden="false" customHeight="false" outlineLevel="0" collapsed="false">
      <c r="A19" s="4" t="s">
        <v>304</v>
      </c>
      <c r="B19" s="48" t="n">
        <f aca="false">B18/(B11/12)</f>
        <v>3.96352941176471</v>
      </c>
      <c r="C19" s="46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2026-10-18T05:11:39Z</dcterms:created>
  <dc:creator>openpyxl</dc:creator>
  <dc:description/>
  <dc:language>en-US</dc:language>
  <cp:lastModifiedBy/>
  <dcterms:modified xsi:type="dcterms:W3CDTF">2026-10-18T00:11:41Z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